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sad\Downloads\"/>
    </mc:Choice>
  </mc:AlternateContent>
  <xr:revisionPtr revIDLastSave="0" documentId="13_ncr:1_{AEF52780-738B-42D5-A2F4-440043E7D27E}" xr6:coauthVersionLast="47" xr6:coauthVersionMax="47" xr10:uidLastSave="{00000000-0000-0000-0000-000000000000}"/>
  <bookViews>
    <workbookView xWindow="-108" yWindow="-108" windowWidth="23256" windowHeight="12456" xr2:uid="{E61C7F16-85D9-4A8C-AA75-CF49379E213B}"/>
  </bookViews>
  <sheets>
    <sheet name="Sheet2" sheetId="2" r:id="rId1"/>
    <sheet name="Sheet1" sheetId="1" r:id="rId2"/>
  </sheets>
  <definedNames>
    <definedName name="_xlnm._FilterDatabase" localSheetId="1" hidden="1">Sheet1!$A$1:$J$31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" i="1" l="1"/>
  <c r="I19" i="1"/>
  <c r="I23" i="1"/>
  <c r="I22" i="1"/>
  <c r="I17" i="1"/>
  <c r="I15" i="1"/>
  <c r="I6" i="1"/>
  <c r="I4" i="1"/>
  <c r="I3" i="1"/>
  <c r="I14" i="1"/>
</calcChain>
</file>

<file path=xl/sharedStrings.xml><?xml version="1.0" encoding="utf-8"?>
<sst xmlns="http://schemas.openxmlformats.org/spreadsheetml/2006/main" count="204" uniqueCount="79">
  <si>
    <t>Case Number</t>
  </si>
  <si>
    <t>Zip/Postal Code</t>
  </si>
  <si>
    <t>Product Description</t>
  </si>
  <si>
    <t>Part Product Description</t>
  </si>
  <si>
    <t>ASP Price</t>
  </si>
  <si>
    <t>Owner</t>
  </si>
  <si>
    <t>Customer Name</t>
  </si>
  <si>
    <t>Remark</t>
  </si>
  <si>
    <t>Atomberg Renesa Ceiling Fan 1200MM- Matt Brown_GV3</t>
  </si>
  <si>
    <t>Consolidate PCB GV3_CF_Renesa+_GV3</t>
  </si>
  <si>
    <t>Surender</t>
  </si>
  <si>
    <t>User User</t>
  </si>
  <si>
    <t>Atomberg Renesa+ Ceiling Fan 1200MM - Golden Oak_GV3</t>
  </si>
  <si>
    <t>Power PCB (Without Potting) BL_CF_Renesa_GV3</t>
  </si>
  <si>
    <t>Adesh Vartak</t>
  </si>
  <si>
    <t>Maria Pinto</t>
  </si>
  <si>
    <t>Dharmendra Gharat</t>
  </si>
  <si>
    <t>Atomberg Efficio Ceiling Fan 1400MM - Brown_GV2</t>
  </si>
  <si>
    <t>Consolidate PCB GV2_CF__Efficio_GV2</t>
  </si>
  <si>
    <t>Ganesh Patil</t>
  </si>
  <si>
    <t>Shree Aashapurna Matajii</t>
  </si>
  <si>
    <t>Atomberg Renesa+ Ceiling Fan 1200MM - Sand Grey_GV3</t>
  </si>
  <si>
    <t>Mayur Mhatre</t>
  </si>
  <si>
    <t>Atomberg Renesa+ Ceiling Fan 1200MM 35 watt RPC41235RM -Golden Oak_GV5</t>
  </si>
  <si>
    <t>Updated STM32 PCB C0_0.6M/0.9M/1.2M/ 1.4M_ Renesa/Renesa+/Studio+/Ikano/Prime_GV5</t>
  </si>
  <si>
    <t>sagar</t>
  </si>
  <si>
    <t>Atomberg Renesa Ceiling Fan 1200MM - White &amp; Black_GV3</t>
  </si>
  <si>
    <t>Pushpendra Shukla</t>
  </si>
  <si>
    <t>Atomberg Renesa Ceiling Fan 1200MM - White_GV3</t>
  </si>
  <si>
    <t>RAJIV PATHAK</t>
  </si>
  <si>
    <t>Santosh Shukla</t>
  </si>
  <si>
    <t>Pritesh</t>
  </si>
  <si>
    <t>Atomberg Studio+ Ceiling Fan 1200mm - Marble White_GV4</t>
  </si>
  <si>
    <t>PCB_Remote_1200mm_Studio+_GV4</t>
  </si>
  <si>
    <t>Rohit Karale</t>
  </si>
  <si>
    <t>Atomberg Renesa Ceiling Fan 1200MM - Ivory &amp; Black_GV3</t>
  </si>
  <si>
    <t>Deepak Mandhana</t>
  </si>
  <si>
    <t>Atomberg Renesa Ceiling Fan 1200MM - Ivory_GV3</t>
  </si>
  <si>
    <t>Gopal Mirchandani</t>
  </si>
  <si>
    <t>Atomberg Efficio Ceiling Fan 1200MM - Brown_GV2</t>
  </si>
  <si>
    <t>Ganesh</t>
  </si>
  <si>
    <t>Atomberg_Renesa Ceiling Fan 1200MM-Midnight Black_GV3</t>
  </si>
  <si>
    <t>gawand</t>
  </si>
  <si>
    <t>Atomberg Efficio Ceiling Fan 1200MM - White_GV2</t>
  </si>
  <si>
    <t>A Archishman Vishnu</t>
  </si>
  <si>
    <t>Kalpesh patil</t>
  </si>
  <si>
    <t>Atomberg Renesa Smart Ceiling Fan 1200mm - Golden Oak_GV3</t>
  </si>
  <si>
    <t>Vishal Mehra</t>
  </si>
  <si>
    <t>Ramjan Hussain</t>
  </si>
  <si>
    <t>Alka ranjan</t>
  </si>
  <si>
    <t>Atomberg Renesa Ceiling Fan 1200MM 35 watt REC41235RM - Midnight Black_GV5</t>
  </si>
  <si>
    <t>N4</t>
  </si>
  <si>
    <t>krishna asti</t>
  </si>
  <si>
    <t>Atomberg_Efficio Alpha Ceiling fan_1200mm_Gloss Black_GV5</t>
  </si>
  <si>
    <t>Plastic Bottom Cover along with Screw_Gloss Black_Ikano/Efficio Alpha/Ameza_GV5</t>
  </si>
  <si>
    <t>Nitish Thakur</t>
  </si>
  <si>
    <t>Kalpesh Koli</t>
  </si>
  <si>
    <t>Atomberg Studio+ Ceiling Fan 1200mm - Earth Brown_GV4</t>
  </si>
  <si>
    <t>Omkar Patil</t>
  </si>
  <si>
    <t>Mahesh vatere</t>
  </si>
  <si>
    <t>Abhijit Patkar</t>
  </si>
  <si>
    <t>Jeet Shah</t>
  </si>
  <si>
    <t>Kedar selse</t>
  </si>
  <si>
    <t>Amount</t>
  </si>
  <si>
    <t>MOP</t>
  </si>
  <si>
    <t>Milan Rajyagor</t>
  </si>
  <si>
    <t>PCB+Service Charge</t>
  </si>
  <si>
    <t>UPI to harish sir</t>
  </si>
  <si>
    <t>Cash</t>
  </si>
  <si>
    <t>Aashish Mane</t>
  </si>
  <si>
    <t>Abid</t>
  </si>
  <si>
    <t>Service Charge</t>
  </si>
  <si>
    <t>Grand Total</t>
  </si>
  <si>
    <t>Row Labels</t>
  </si>
  <si>
    <t>Sum of Amount</t>
  </si>
  <si>
    <t>Bottom Cover+Service Charge</t>
  </si>
  <si>
    <t>Column Labels</t>
  </si>
  <si>
    <t>(blank)</t>
  </si>
  <si>
    <t>Danny Mane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</si>
</sst>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rgb="FF000000"/>
      <name val="Calibri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yshankar Yadav" refreshedDate="46214.529905555559" createdVersion="8" refreshedVersion="8" minRefreshableVersion="3" recordCount="31" xr:uid="{0880A8C3-815D-4A93-A526-A8F08CC4EB01}">
  <cacheSource type="worksheet">
    <worksheetSource ref="A1:J1048576" sheet="Sheet1"/>
  </cacheSource>
  <cacheFields count="10">
    <cacheField name="Case Number" numFmtId="0">
      <sharedItems containsString="0" containsBlank="1" containsNumber="1" containsInteger="1" minValue="5593610" maxValue="5738344"/>
    </cacheField>
    <cacheField name="Zip/Postal Code" numFmtId="0">
      <sharedItems containsString="0" containsBlank="1" containsNumber="1" containsInteger="1" minValue="400005" maxValue="410206"/>
    </cacheField>
    <cacheField name="Product Description" numFmtId="0">
      <sharedItems containsBlank="1"/>
    </cacheField>
    <cacheField name="Part Product Description" numFmtId="0">
      <sharedItems containsBlank="1" containsMixedTypes="1" containsNumber="1" containsInteger="1" minValue="0" maxValue="0"/>
    </cacheField>
    <cacheField name="ASP Price" numFmtId="0">
      <sharedItems containsString="0" containsBlank="1" containsNumber="1" containsInteger="1" minValue="150" maxValue="550"/>
    </cacheField>
    <cacheField name="Owner" numFmtId="0">
      <sharedItems containsBlank="1" count="7">
        <s v="Surender"/>
        <s v="Adesh Vartak"/>
        <s v="Ganesh Patil"/>
        <s v="Santosh Shukla"/>
        <s v="Danny Mane"/>
        <s v="Aashish Mane"/>
        <m/>
      </sharedItems>
    </cacheField>
    <cacheField name="Customer Name" numFmtId="0">
      <sharedItems containsBlank="1"/>
    </cacheField>
    <cacheField name="Remark" numFmtId="0">
      <sharedItems containsBlank="1"/>
    </cacheField>
    <cacheField name="Amount" numFmtId="0">
      <sharedItems containsString="0" containsBlank="1" containsNumber="1" containsInteger="1" minValue="250" maxValue="1290" count="6">
        <n v="770"/>
        <n v="800"/>
        <n v="750"/>
        <m/>
        <n v="1290"/>
        <n v="250"/>
      </sharedItems>
    </cacheField>
    <cacheField name="MOP" numFmtId="0">
      <sharedItems containsBlank="1" count="3">
        <s v="Cash"/>
        <s v="UPI to harish sir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n v="5609599"/>
    <n v="400615"/>
    <s v="Atomberg Renesa Ceiling Fan 1200MM- Matt Brown_GV3"/>
    <s v="Consolidate PCB GV3_CF_Renesa+_GV3"/>
    <n v="520"/>
    <x v="0"/>
    <s v="User User"/>
    <s v="PCB+Service Charge"/>
    <x v="0"/>
    <x v="0"/>
  </r>
  <r>
    <n v="5610032"/>
    <n v="400706"/>
    <s v="Atomberg Renesa+ Ceiling Fan 1200MM - Golden Oak_GV3"/>
    <s v="Power PCB (Without Potting) BL_CF_Renesa_GV3"/>
    <n v="520"/>
    <x v="1"/>
    <s v="Maria Pinto"/>
    <s v="PCB+Service Charge"/>
    <x v="0"/>
    <x v="0"/>
  </r>
  <r>
    <n v="5611962"/>
    <n v="400702"/>
    <s v="Atomberg Renesa+ Ceiling Fan 1200MM - Golden Oak_GV3"/>
    <s v="Consolidate PCB GV3_CF_Renesa+_GV3"/>
    <n v="520"/>
    <x v="1"/>
    <s v="Dharmendra Gharat"/>
    <s v="PCB+Service Charge"/>
    <x v="0"/>
    <x v="0"/>
  </r>
  <r>
    <n v="5626533"/>
    <n v="402201"/>
    <s v="Atomberg Efficio Ceiling Fan 1400MM - Brown_GV2"/>
    <s v="Consolidate PCB GV2_CF__Efficio_GV2"/>
    <n v="550"/>
    <x v="2"/>
    <s v="Shree Aashapurna Matajii"/>
    <s v="PCB+Service Charge"/>
    <x v="1"/>
    <x v="1"/>
  </r>
  <r>
    <n v="5628122"/>
    <n v="400702"/>
    <s v="Atomberg Renesa+ Ceiling Fan 1200MM - Sand Grey_GV3"/>
    <s v="Power PCB (Without Potting) BL_CF_Renesa_GV3"/>
    <n v="520"/>
    <x v="1"/>
    <s v="Mayur Mhatre"/>
    <s v="PCB+Service Charge"/>
    <x v="0"/>
    <x v="0"/>
  </r>
  <r>
    <n v="5630444"/>
    <n v="402208"/>
    <s v="Atomberg Renesa+ Ceiling Fan 1200MM 35 watt RPC41235RM -Golden Oak_GV5"/>
    <s v="Updated STM32 PCB C0_0.6M/0.9M/1.2M/ 1.4M_ Renesa/Renesa+/Studio+/Ikano/Prime_GV5"/>
    <n v="500"/>
    <x v="2"/>
    <s v="sagar"/>
    <s v="PCB+Service Charge"/>
    <x v="2"/>
    <x v="1"/>
  </r>
  <r>
    <n v="5634198"/>
    <n v="400615"/>
    <s v="Atomberg Renesa Ceiling Fan 1200MM - White &amp; Black_GV3"/>
    <s v="Consolidate PCB GV3_CF_Renesa+_GV3"/>
    <n v="520"/>
    <x v="0"/>
    <s v="Pushpendra Shukla"/>
    <s v="PCB+Service Charge"/>
    <x v="0"/>
    <x v="0"/>
  </r>
  <r>
    <n v="5638340"/>
    <n v="402201"/>
    <s v="Atomberg Renesa Ceiling Fan 1200MM - White_GV3"/>
    <s v="Consolidate PCB GV3_CF_Renesa+_GV3"/>
    <n v="520"/>
    <x v="2"/>
    <s v="RAJIV PATHAK"/>
    <s v="PCB+Service Charge"/>
    <x v="0"/>
    <x v="1"/>
  </r>
  <r>
    <n v="5643517"/>
    <n v="400037"/>
    <s v="Atomberg Renesa Ceiling Fan 1200MM - White &amp; Black_GV3"/>
    <s v="Consolidate PCB GV3_CF_Renesa+_GV3"/>
    <n v="520"/>
    <x v="3"/>
    <s v="Pritesh"/>
    <s v="PCB+Service Charge"/>
    <x v="0"/>
    <x v="0"/>
  </r>
  <r>
    <n v="5648935"/>
    <n v="400615"/>
    <s v="Atomberg Studio+ Ceiling Fan 1200mm - Marble White_GV4"/>
    <s v="PCB_Remote_1200mm_Studio+_GV4"/>
    <n v="520"/>
    <x v="0"/>
    <s v="Rohit Karale"/>
    <s v="PCB+Service Charge"/>
    <x v="0"/>
    <x v="1"/>
  </r>
  <r>
    <n v="5654393"/>
    <n v="400615"/>
    <s v="Atomberg Renesa Ceiling Fan 1200MM - Ivory &amp; Black_GV3"/>
    <s v="Consolidate PCB GV3_CF_Renesa+_GV3"/>
    <n v="520"/>
    <x v="0"/>
    <s v="Deepak Mandhana"/>
    <s v="PCB+Service Charge"/>
    <x v="0"/>
    <x v="1"/>
  </r>
  <r>
    <n v="5654614"/>
    <n v="400005"/>
    <s v="Atomberg Renesa Ceiling Fan 1200MM - Ivory_GV3"/>
    <s v="Consolidate PCB GV3_CF_Renesa+_GV3"/>
    <n v="520"/>
    <x v="3"/>
    <s v="Gopal Mirchandani"/>
    <s v="PCB+Service Charge"/>
    <x v="0"/>
    <x v="0"/>
  </r>
  <r>
    <n v="5655943"/>
    <n v="400706"/>
    <s v="Atomberg Efficio Ceiling Fan 1200MM - Brown_GV2"/>
    <s v="Consolidate PCB GV2_CF__Efficio_GV2"/>
    <n v="550"/>
    <x v="1"/>
    <s v="Ganesh"/>
    <s v="PCB+Service Charge"/>
    <x v="1"/>
    <x v="0"/>
  </r>
  <r>
    <n v="5660522"/>
    <n v="410206"/>
    <s v="Atomberg_Renesa Ceiling Fan 1200MM-Midnight Black_GV3"/>
    <s v="Consolidate PCB GV3_CF_Renesa+_GV3"/>
    <n v="520"/>
    <x v="1"/>
    <s v="gawand"/>
    <s v="PCB+Service Charge"/>
    <x v="0"/>
    <x v="0"/>
  </r>
  <r>
    <n v="5675057"/>
    <n v="400615"/>
    <s v="Atomberg Efficio Ceiling Fan 1200MM - White_GV2"/>
    <s v="Consolidate PCB GV2_CF__Efficio_GV2"/>
    <n v="550"/>
    <x v="0"/>
    <s v="A Archishman Vishnu"/>
    <m/>
    <x v="3"/>
    <x v="2"/>
  </r>
  <r>
    <n v="5678860"/>
    <n v="400702"/>
    <s v="Atomberg Renesa Ceiling Fan 1200MM - White &amp; Black_GV3"/>
    <s v="Power PCB (Without Potting) BL_CF_Renesa_GV3"/>
    <n v="520"/>
    <x v="1"/>
    <s v="Kalpesh patil"/>
    <s v="PCB+Service Charge"/>
    <x v="0"/>
    <x v="0"/>
  </r>
  <r>
    <n v="5682388"/>
    <n v="400026"/>
    <s v="Atomberg Renesa Smart Ceiling Fan 1200mm - Golden Oak_GV3"/>
    <s v="Consolidate PCB GV3_CF_Renesa+_GV3"/>
    <n v="520"/>
    <x v="3"/>
    <s v="Vishal Mehra"/>
    <s v="PCB+Service Charge"/>
    <x v="0"/>
    <x v="0"/>
  </r>
  <r>
    <n v="5682863"/>
    <n v="400031"/>
    <s v="Atomberg Renesa Ceiling Fan 1200MM - Ivory &amp; Black_GV3"/>
    <s v="Power PCB (Without Potting) BL_CF_Renesa_GV3"/>
    <n v="520"/>
    <x v="4"/>
    <s v="Ramjan Hussain"/>
    <m/>
    <x v="3"/>
    <x v="2"/>
  </r>
  <r>
    <n v="5684112"/>
    <n v="400615"/>
    <s v="Atomberg Renesa Ceiling Fan 1200MM - White_GV3"/>
    <s v="Consolidate PCB GV3_CF_Renesa+_GV3"/>
    <n v="520"/>
    <x v="0"/>
    <s v="Alka ranjan"/>
    <s v="PCB+Service Charge"/>
    <x v="4"/>
    <x v="1"/>
  </r>
  <r>
    <n v="5684795"/>
    <n v="402107"/>
    <s v="Atomberg Renesa Ceiling Fan 1200MM 35 watt REC41235RM - Midnight Black_GV5"/>
    <s v="Updated STM32 PCB C0_0.6M/0.9M/1.2M/ 1.4M_ Renesa/Renesa+/Studio+/Ikano/Prime_GV5"/>
    <n v="500"/>
    <x v="2"/>
    <s v="N4"/>
    <s v="PCB+Service Charge"/>
    <x v="2"/>
    <x v="1"/>
  </r>
  <r>
    <n v="5685170"/>
    <n v="410206"/>
    <s v="Atomberg Renesa Ceiling Fan 1200MM - White &amp; Black_GV3"/>
    <s v="Consolidate PCB GV3_CF_Renesa+_GV3"/>
    <n v="520"/>
    <x v="1"/>
    <s v="krishna asti"/>
    <s v="PCB+Service Charge"/>
    <x v="0"/>
    <x v="0"/>
  </r>
  <r>
    <n v="5692231"/>
    <n v="400707"/>
    <s v="Atomberg_Efficio Alpha Ceiling fan_1200mm_Gloss Black_GV5"/>
    <s v="Plastic Bottom Cover along with Screw_Gloss Black_Ikano/Efficio Alpha/Ameza_GV5"/>
    <n v="150"/>
    <x v="1"/>
    <s v="Nitish Thakur"/>
    <m/>
    <x v="3"/>
    <x v="2"/>
  </r>
  <r>
    <n v="5709929"/>
    <n v="402107"/>
    <s v="Atomberg Renesa+ Ceiling Fan 1200MM 35 watt RPC41235RM -Golden Oak_GV5"/>
    <s v="Updated STM32 PCB C0_0.6M/0.9M/1.2M/ 1.4M_ Renesa/Renesa+/Studio+/Ikano/Prime_GV5"/>
    <n v="500"/>
    <x v="2"/>
    <s v="Kalpesh Koli"/>
    <s v="PCB+Service Charge"/>
    <x v="2"/>
    <x v="1"/>
  </r>
  <r>
    <n v="5710325"/>
    <n v="402107"/>
    <s v="Atomberg Studio+ Ceiling Fan 1200mm - Earth Brown_GV4"/>
    <s v="PCB_Remote_1200mm_Studio+_GV4"/>
    <n v="520"/>
    <x v="2"/>
    <s v="Omkar Patil"/>
    <s v="PCB+Service Charge"/>
    <x v="0"/>
    <x v="1"/>
  </r>
  <r>
    <n v="5710699"/>
    <n v="402207"/>
    <s v="Atomberg Renesa Ceiling Fan 1200MM- Matt Brown_GV3"/>
    <s v="Consolidate PCB GV3_CF_Renesa+_GV3"/>
    <n v="520"/>
    <x v="2"/>
    <s v="Mahesh vatere"/>
    <s v="PCB+Service Charge"/>
    <x v="0"/>
    <x v="1"/>
  </r>
  <r>
    <n v="5724522"/>
    <n v="400615"/>
    <s v="Atomberg Efficio Ceiling Fan 1200MM - Brown_GV2"/>
    <s v="Consolidate PCB GV2_CF__Efficio_GV2"/>
    <n v="550"/>
    <x v="0"/>
    <s v="Abhijit Patkar"/>
    <s v="PCB+Service Charge"/>
    <x v="1"/>
    <x v="1"/>
  </r>
  <r>
    <n v="5725444"/>
    <n v="400026"/>
    <s v="Atomberg Renesa Ceiling Fan 1200MM - Ivory_GV3"/>
    <s v="Consolidate PCB GV3_CF_Renesa+_GV3"/>
    <n v="520"/>
    <x v="3"/>
    <s v="Jeet Shah"/>
    <s v="PCB+Service Charge"/>
    <x v="0"/>
    <x v="0"/>
  </r>
  <r>
    <n v="5738344"/>
    <n v="402201"/>
    <s v="Atomberg Studio+ Ceiling Fan 1200mm - Earth Brown_GV4"/>
    <s v="PCB_Remote_1200mm_Studio+_GV4"/>
    <n v="520"/>
    <x v="2"/>
    <s v="Kedar selse"/>
    <s v="PCB+Service Charge"/>
    <x v="0"/>
    <x v="1"/>
  </r>
  <r>
    <n v="5593610"/>
    <n v="400615"/>
    <s v="Atomberg Efficio Ceiling Fan 1200MM - Brown_GV2"/>
    <s v="Consolidate PCB GV2_CF__Efficio_GV2"/>
    <n v="520"/>
    <x v="0"/>
    <s v="Milan Rajyagor"/>
    <s v="PCB+Service Charge"/>
    <x v="0"/>
    <x v="1"/>
  </r>
  <r>
    <n v="5665924"/>
    <m/>
    <s v="Atomberg Renesa Ceiling Fan 1200MM - Ivory_GV3"/>
    <n v="0"/>
    <n v="250"/>
    <x v="5"/>
    <s v="Abid"/>
    <s v="Service Charge"/>
    <x v="5"/>
    <x v="1"/>
  </r>
  <r>
    <m/>
    <m/>
    <m/>
    <m/>
    <m/>
    <x v="6"/>
    <m/>
    <m/>
    <x v="3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44ED3D-CBCA-406A-8A9A-4F6B01AF3EF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2" firstHeaderRow="1" firstDataRow="2" firstDataCol="1"/>
  <pivotFields count="10">
    <pivotField showAll="0"/>
    <pivotField showAll="0"/>
    <pivotField showAll="0"/>
    <pivotField showAll="0"/>
    <pivotField showAll="0"/>
    <pivotField axis="axisRow" showAll="0">
      <items count="8">
        <item x="5"/>
        <item x="1"/>
        <item x="4"/>
        <item x="2"/>
        <item x="3"/>
        <item x="0"/>
        <item x="6"/>
        <item t="default"/>
      </items>
    </pivotField>
    <pivotField showAll="0"/>
    <pivotField showAll="0"/>
    <pivotField dataField="1" showAll="0">
      <items count="7">
        <item x="5"/>
        <item x="2"/>
        <item x="0"/>
        <item x="1"/>
        <item x="4"/>
        <item x="3"/>
        <item t="default"/>
      </items>
    </pivotField>
    <pivotField axis="axisCol" multipleItemSelectionAllowed="1" showAll="0">
      <items count="4">
        <item x="0"/>
        <item x="1"/>
        <item x="2"/>
        <item t="default"/>
      </items>
    </pivotField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dataFields count="1">
    <dataField name="Sum of Amoun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5145D-D704-4610-9D39-062E23036202}">
  <dimension ref="A3:E12"/>
  <sheetViews>
    <sheetView tabSelected="1" workbookViewId="0">
      <selection activeCell="H11" sqref="H11"/>
    </sheetView>
  </sheetViews>
  <sheetFormatPr defaultRowHeight="14.4" x14ac:dyDescent="0.3"/>
  <cols>
    <col min="1" max="1" width="14.44140625" bestFit="1" customWidth="1"/>
    <col min="2" max="2" width="15.5546875" bestFit="1" customWidth="1"/>
    <col min="3" max="3" width="14.21875" bestFit="1" customWidth="1"/>
    <col min="4" max="4" width="7" bestFit="1" customWidth="1"/>
    <col min="5" max="5" width="10.77734375" bestFit="1" customWidth="1"/>
    <col min="6" max="6" width="5" bestFit="1" customWidth="1"/>
    <col min="7" max="8" width="10.77734375" bestFit="1" customWidth="1"/>
  </cols>
  <sheetData>
    <row r="3" spans="1:5" x14ac:dyDescent="0.3">
      <c r="A3" s="4" t="s">
        <v>74</v>
      </c>
      <c r="B3" s="4" t="s">
        <v>76</v>
      </c>
    </row>
    <row r="4" spans="1:5" x14ac:dyDescent="0.3">
      <c r="A4" s="4" t="s">
        <v>73</v>
      </c>
      <c r="B4" t="s">
        <v>68</v>
      </c>
      <c r="C4" t="s">
        <v>67</v>
      </c>
      <c r="D4" t="s">
        <v>77</v>
      </c>
      <c r="E4" t="s">
        <v>72</v>
      </c>
    </row>
    <row r="5" spans="1:5" x14ac:dyDescent="0.3">
      <c r="A5" s="5" t="s">
        <v>69</v>
      </c>
      <c r="B5" s="6"/>
      <c r="C5" s="6">
        <v>250</v>
      </c>
      <c r="D5" s="6"/>
      <c r="E5" s="6">
        <v>250</v>
      </c>
    </row>
    <row r="6" spans="1:5" x14ac:dyDescent="0.3">
      <c r="A6" s="5" t="s">
        <v>14</v>
      </c>
      <c r="B6" s="6">
        <v>5420</v>
      </c>
      <c r="C6" s="6"/>
      <c r="D6" s="6"/>
      <c r="E6" s="6">
        <v>5420</v>
      </c>
    </row>
    <row r="7" spans="1:5" x14ac:dyDescent="0.3">
      <c r="A7" s="5" t="s">
        <v>78</v>
      </c>
      <c r="B7" s="6"/>
      <c r="C7" s="6"/>
      <c r="D7" s="6"/>
      <c r="E7" s="6"/>
    </row>
    <row r="8" spans="1:5" x14ac:dyDescent="0.3">
      <c r="A8" s="5" t="s">
        <v>19</v>
      </c>
      <c r="B8" s="6"/>
      <c r="C8" s="6">
        <v>6130</v>
      </c>
      <c r="D8" s="6"/>
      <c r="E8" s="6">
        <v>6130</v>
      </c>
    </row>
    <row r="9" spans="1:5" x14ac:dyDescent="0.3">
      <c r="A9" s="5" t="s">
        <v>30</v>
      </c>
      <c r="B9" s="6">
        <v>3080</v>
      </c>
      <c r="C9" s="6"/>
      <c r="D9" s="6"/>
      <c r="E9" s="6">
        <v>3080</v>
      </c>
    </row>
    <row r="10" spans="1:5" x14ac:dyDescent="0.3">
      <c r="A10" s="5" t="s">
        <v>10</v>
      </c>
      <c r="B10" s="6">
        <v>1540</v>
      </c>
      <c r="C10" s="6">
        <v>4400</v>
      </c>
      <c r="D10" s="6"/>
      <c r="E10" s="6">
        <v>5940</v>
      </c>
    </row>
    <row r="11" spans="1:5" x14ac:dyDescent="0.3">
      <c r="A11" s="5" t="s">
        <v>77</v>
      </c>
      <c r="B11" s="6"/>
      <c r="C11" s="6"/>
      <c r="D11" s="6"/>
      <c r="E11" s="6"/>
    </row>
    <row r="12" spans="1:5" x14ac:dyDescent="0.3">
      <c r="A12" s="5" t="s">
        <v>72</v>
      </c>
      <c r="B12" s="6">
        <v>10040</v>
      </c>
      <c r="C12" s="6">
        <v>10780</v>
      </c>
      <c r="D12" s="6"/>
      <c r="E12" s="6">
        <v>20820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C5DD3-156E-478F-9399-1897BC28A4D8}">
  <dimension ref="A1:J31"/>
  <sheetViews>
    <sheetView workbookViewId="0">
      <selection activeCell="M5" sqref="M5"/>
    </sheetView>
  </sheetViews>
  <sheetFormatPr defaultRowHeight="14.4" x14ac:dyDescent="0.3"/>
  <cols>
    <col min="1" max="1" width="9" style="2" bestFit="1" customWidth="1"/>
    <col min="2" max="2" width="12.5546875" style="2" hidden="1" customWidth="1"/>
    <col min="3" max="3" width="34.88671875" style="2" customWidth="1"/>
    <col min="4" max="4" width="29.6640625" style="2" customWidth="1"/>
    <col min="5" max="5" width="6.44140625" style="2" bestFit="1" customWidth="1"/>
    <col min="6" max="6" width="13.21875" style="2" bestFit="1" customWidth="1"/>
    <col min="7" max="7" width="22" style="2" bestFit="1" customWidth="1"/>
    <col min="8" max="16384" width="8.88671875" style="2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63</v>
      </c>
      <c r="J1" s="1" t="s">
        <v>64</v>
      </c>
    </row>
    <row r="2" spans="1:10" ht="43.2" x14ac:dyDescent="0.3">
      <c r="A2" s="3">
        <v>5609599</v>
      </c>
      <c r="B2" s="3">
        <v>400615</v>
      </c>
      <c r="C2" s="3" t="s">
        <v>8</v>
      </c>
      <c r="D2" s="3" t="s">
        <v>9</v>
      </c>
      <c r="E2" s="3">
        <v>520</v>
      </c>
      <c r="F2" s="3" t="s">
        <v>10</v>
      </c>
      <c r="G2" s="3" t="s">
        <v>11</v>
      </c>
      <c r="H2" s="2" t="s">
        <v>66</v>
      </c>
      <c r="I2" s="2">
        <v>770</v>
      </c>
      <c r="J2" s="2" t="s">
        <v>68</v>
      </c>
    </row>
    <row r="3" spans="1:10" ht="43.2" x14ac:dyDescent="0.3">
      <c r="A3" s="3">
        <v>5610032</v>
      </c>
      <c r="B3" s="3">
        <v>400706</v>
      </c>
      <c r="C3" s="3" t="s">
        <v>12</v>
      </c>
      <c r="D3" s="3" t="s">
        <v>13</v>
      </c>
      <c r="E3" s="3">
        <v>520</v>
      </c>
      <c r="F3" s="3" t="s">
        <v>14</v>
      </c>
      <c r="G3" s="3" t="s">
        <v>15</v>
      </c>
      <c r="H3" s="2" t="s">
        <v>66</v>
      </c>
      <c r="I3" s="2">
        <f>520+250</f>
        <v>770</v>
      </c>
      <c r="J3" s="2" t="s">
        <v>68</v>
      </c>
    </row>
    <row r="4" spans="1:10" ht="43.2" x14ac:dyDescent="0.3">
      <c r="A4" s="3">
        <v>5611962</v>
      </c>
      <c r="B4" s="3">
        <v>400702</v>
      </c>
      <c r="C4" s="3" t="s">
        <v>12</v>
      </c>
      <c r="D4" s="3" t="s">
        <v>9</v>
      </c>
      <c r="E4" s="3">
        <v>520</v>
      </c>
      <c r="F4" s="3" t="s">
        <v>14</v>
      </c>
      <c r="G4" s="3" t="s">
        <v>16</v>
      </c>
      <c r="H4" s="2" t="s">
        <v>66</v>
      </c>
      <c r="I4" s="2">
        <f>520+250</f>
        <v>770</v>
      </c>
      <c r="J4" s="2" t="s">
        <v>68</v>
      </c>
    </row>
    <row r="5" spans="1:10" ht="43.2" x14ac:dyDescent="0.3">
      <c r="A5" s="3">
        <v>5626533</v>
      </c>
      <c r="B5" s="3">
        <v>402201</v>
      </c>
      <c r="C5" s="3" t="s">
        <v>17</v>
      </c>
      <c r="D5" s="3" t="s">
        <v>18</v>
      </c>
      <c r="E5" s="3">
        <v>550</v>
      </c>
      <c r="F5" s="3" t="s">
        <v>19</v>
      </c>
      <c r="G5" s="3" t="s">
        <v>20</v>
      </c>
      <c r="H5" s="2" t="s">
        <v>66</v>
      </c>
      <c r="I5" s="2">
        <v>800</v>
      </c>
      <c r="J5" s="2" t="s">
        <v>67</v>
      </c>
    </row>
    <row r="6" spans="1:10" ht="43.2" x14ac:dyDescent="0.3">
      <c r="A6" s="3">
        <v>5628122</v>
      </c>
      <c r="B6" s="3">
        <v>400702</v>
      </c>
      <c r="C6" s="3" t="s">
        <v>21</v>
      </c>
      <c r="D6" s="3" t="s">
        <v>13</v>
      </c>
      <c r="E6" s="3">
        <v>520</v>
      </c>
      <c r="F6" s="3" t="s">
        <v>14</v>
      </c>
      <c r="G6" s="3" t="s">
        <v>22</v>
      </c>
      <c r="H6" s="2" t="s">
        <v>66</v>
      </c>
      <c r="I6" s="2">
        <f>520+250</f>
        <v>770</v>
      </c>
      <c r="J6" s="2" t="s">
        <v>68</v>
      </c>
    </row>
    <row r="7" spans="1:10" ht="57.6" x14ac:dyDescent="0.3">
      <c r="A7" s="3">
        <v>5630444</v>
      </c>
      <c r="B7" s="3">
        <v>402208</v>
      </c>
      <c r="C7" s="3" t="s">
        <v>23</v>
      </c>
      <c r="D7" s="3" t="s">
        <v>24</v>
      </c>
      <c r="E7" s="3">
        <v>500</v>
      </c>
      <c r="F7" s="3" t="s">
        <v>19</v>
      </c>
      <c r="G7" s="3" t="s">
        <v>25</v>
      </c>
      <c r="H7" s="2" t="s">
        <v>66</v>
      </c>
      <c r="I7" s="2">
        <v>750</v>
      </c>
      <c r="J7" s="2" t="s">
        <v>67</v>
      </c>
    </row>
    <row r="8" spans="1:10" ht="43.2" x14ac:dyDescent="0.3">
      <c r="A8" s="3">
        <v>5634198</v>
      </c>
      <c r="B8" s="3">
        <v>400615</v>
      </c>
      <c r="C8" s="3" t="s">
        <v>26</v>
      </c>
      <c r="D8" s="3" t="s">
        <v>9</v>
      </c>
      <c r="E8" s="3">
        <v>520</v>
      </c>
      <c r="F8" s="3" t="s">
        <v>10</v>
      </c>
      <c r="G8" s="3" t="s">
        <v>27</v>
      </c>
      <c r="H8" s="2" t="s">
        <v>66</v>
      </c>
      <c r="I8" s="2">
        <v>770</v>
      </c>
      <c r="J8" s="2" t="s">
        <v>68</v>
      </c>
    </row>
    <row r="9" spans="1:10" ht="43.2" x14ac:dyDescent="0.3">
      <c r="A9" s="3">
        <v>5638340</v>
      </c>
      <c r="B9" s="3">
        <v>402201</v>
      </c>
      <c r="C9" s="3" t="s">
        <v>28</v>
      </c>
      <c r="D9" s="3" t="s">
        <v>9</v>
      </c>
      <c r="E9" s="3">
        <v>520</v>
      </c>
      <c r="F9" s="3" t="s">
        <v>19</v>
      </c>
      <c r="G9" s="3" t="s">
        <v>29</v>
      </c>
      <c r="H9" s="2" t="s">
        <v>66</v>
      </c>
      <c r="I9" s="2">
        <v>770</v>
      </c>
      <c r="J9" s="2" t="s">
        <v>67</v>
      </c>
    </row>
    <row r="10" spans="1:10" ht="43.2" x14ac:dyDescent="0.3">
      <c r="A10" s="3">
        <v>5643517</v>
      </c>
      <c r="B10" s="3">
        <v>400037</v>
      </c>
      <c r="C10" s="3" t="s">
        <v>26</v>
      </c>
      <c r="D10" s="3" t="s">
        <v>9</v>
      </c>
      <c r="E10" s="3">
        <v>520</v>
      </c>
      <c r="F10" s="3" t="s">
        <v>30</v>
      </c>
      <c r="G10" s="3" t="s">
        <v>31</v>
      </c>
      <c r="H10" s="2" t="s">
        <v>66</v>
      </c>
      <c r="I10" s="2">
        <v>770</v>
      </c>
      <c r="J10" s="2" t="s">
        <v>68</v>
      </c>
    </row>
    <row r="11" spans="1:10" ht="43.2" x14ac:dyDescent="0.3">
      <c r="A11" s="3">
        <v>5648935</v>
      </c>
      <c r="B11" s="3">
        <v>400615</v>
      </c>
      <c r="C11" s="3" t="s">
        <v>32</v>
      </c>
      <c r="D11" s="3" t="s">
        <v>33</v>
      </c>
      <c r="E11" s="3">
        <v>520</v>
      </c>
      <c r="F11" s="3" t="s">
        <v>10</v>
      </c>
      <c r="G11" s="3" t="s">
        <v>34</v>
      </c>
      <c r="H11" s="2" t="s">
        <v>66</v>
      </c>
      <c r="I11" s="2">
        <v>770</v>
      </c>
      <c r="J11" s="2" t="s">
        <v>67</v>
      </c>
    </row>
    <row r="12" spans="1:10" ht="43.2" x14ac:dyDescent="0.3">
      <c r="A12" s="3">
        <v>5654393</v>
      </c>
      <c r="B12" s="3">
        <v>400615</v>
      </c>
      <c r="C12" s="3" t="s">
        <v>35</v>
      </c>
      <c r="D12" s="3" t="s">
        <v>9</v>
      </c>
      <c r="E12" s="3">
        <v>520</v>
      </c>
      <c r="F12" s="3" t="s">
        <v>10</v>
      </c>
      <c r="G12" s="3" t="s">
        <v>36</v>
      </c>
      <c r="H12" s="2" t="s">
        <v>66</v>
      </c>
      <c r="I12" s="2">
        <v>770</v>
      </c>
      <c r="J12" s="2" t="s">
        <v>67</v>
      </c>
    </row>
    <row r="13" spans="1:10" ht="43.2" x14ac:dyDescent="0.3">
      <c r="A13" s="3">
        <v>5654614</v>
      </c>
      <c r="B13" s="3">
        <v>400005</v>
      </c>
      <c r="C13" s="3" t="s">
        <v>37</v>
      </c>
      <c r="D13" s="3" t="s">
        <v>9</v>
      </c>
      <c r="E13" s="3">
        <v>520</v>
      </c>
      <c r="F13" s="3" t="s">
        <v>30</v>
      </c>
      <c r="G13" s="3" t="s">
        <v>38</v>
      </c>
      <c r="H13" s="2" t="s">
        <v>66</v>
      </c>
      <c r="I13" s="2">
        <v>770</v>
      </c>
      <c r="J13" s="2" t="s">
        <v>68</v>
      </c>
    </row>
    <row r="14" spans="1:10" ht="43.2" x14ac:dyDescent="0.3">
      <c r="A14" s="3">
        <v>5655943</v>
      </c>
      <c r="B14" s="3">
        <v>400706</v>
      </c>
      <c r="C14" s="3" t="s">
        <v>39</v>
      </c>
      <c r="D14" s="3" t="s">
        <v>18</v>
      </c>
      <c r="E14" s="3">
        <v>550</v>
      </c>
      <c r="F14" s="3" t="s">
        <v>14</v>
      </c>
      <c r="G14" s="3" t="s">
        <v>40</v>
      </c>
      <c r="H14" s="2" t="s">
        <v>66</v>
      </c>
      <c r="I14" s="2">
        <f>550+250</f>
        <v>800</v>
      </c>
      <c r="J14" s="2" t="s">
        <v>68</v>
      </c>
    </row>
    <row r="15" spans="1:10" ht="43.2" x14ac:dyDescent="0.3">
      <c r="A15" s="3">
        <v>5660522</v>
      </c>
      <c r="B15" s="3">
        <v>410206</v>
      </c>
      <c r="C15" s="3" t="s">
        <v>41</v>
      </c>
      <c r="D15" s="3" t="s">
        <v>9</v>
      </c>
      <c r="E15" s="3">
        <v>520</v>
      </c>
      <c r="F15" s="3" t="s">
        <v>14</v>
      </c>
      <c r="G15" s="3" t="s">
        <v>42</v>
      </c>
      <c r="H15" s="2" t="s">
        <v>66</v>
      </c>
      <c r="I15" s="2">
        <f>520+250</f>
        <v>770</v>
      </c>
      <c r="J15" s="2" t="s">
        <v>68</v>
      </c>
    </row>
    <row r="16" spans="1:10" ht="43.2" x14ac:dyDescent="0.3">
      <c r="A16" s="3">
        <v>5675057</v>
      </c>
      <c r="B16" s="3">
        <v>400615</v>
      </c>
      <c r="C16" s="3" t="s">
        <v>43</v>
      </c>
      <c r="D16" s="3" t="s">
        <v>18</v>
      </c>
      <c r="E16" s="3">
        <v>550</v>
      </c>
      <c r="F16" s="3" t="s">
        <v>10</v>
      </c>
      <c r="G16" s="3" t="s">
        <v>44</v>
      </c>
      <c r="H16" s="2" t="s">
        <v>66</v>
      </c>
      <c r="I16" s="2">
        <f>550+250</f>
        <v>800</v>
      </c>
      <c r="J16" s="2" t="s">
        <v>68</v>
      </c>
    </row>
    <row r="17" spans="1:10" ht="43.2" x14ac:dyDescent="0.3">
      <c r="A17" s="3">
        <v>5678860</v>
      </c>
      <c r="B17" s="3">
        <v>400702</v>
      </c>
      <c r="C17" s="3" t="s">
        <v>26</v>
      </c>
      <c r="D17" s="3" t="s">
        <v>13</v>
      </c>
      <c r="E17" s="3">
        <v>520</v>
      </c>
      <c r="F17" s="3" t="s">
        <v>14</v>
      </c>
      <c r="G17" s="3" t="s">
        <v>45</v>
      </c>
      <c r="H17" s="2" t="s">
        <v>66</v>
      </c>
      <c r="I17" s="2">
        <f>520+250</f>
        <v>770</v>
      </c>
      <c r="J17" s="2" t="s">
        <v>68</v>
      </c>
    </row>
    <row r="18" spans="1:10" ht="43.2" x14ac:dyDescent="0.3">
      <c r="A18" s="3">
        <v>5682388</v>
      </c>
      <c r="B18" s="3">
        <v>400026</v>
      </c>
      <c r="C18" s="3" t="s">
        <v>46</v>
      </c>
      <c r="D18" s="3" t="s">
        <v>9</v>
      </c>
      <c r="E18" s="3">
        <v>520</v>
      </c>
      <c r="F18" s="3" t="s">
        <v>30</v>
      </c>
      <c r="G18" s="3" t="s">
        <v>47</v>
      </c>
      <c r="H18" s="2" t="s">
        <v>66</v>
      </c>
      <c r="I18" s="2">
        <v>770</v>
      </c>
      <c r="J18" s="2" t="s">
        <v>68</v>
      </c>
    </row>
    <row r="19" spans="1:10" ht="43.2" x14ac:dyDescent="0.3">
      <c r="A19" s="3">
        <v>5682863</v>
      </c>
      <c r="B19" s="3">
        <v>400031</v>
      </c>
      <c r="C19" s="3" t="s">
        <v>35</v>
      </c>
      <c r="D19" s="3" t="s">
        <v>13</v>
      </c>
      <c r="E19" s="3">
        <v>520</v>
      </c>
      <c r="F19" s="3" t="s">
        <v>69</v>
      </c>
      <c r="G19" s="3" t="s">
        <v>48</v>
      </c>
      <c r="H19" s="2" t="s">
        <v>66</v>
      </c>
      <c r="I19" s="2">
        <f>520+250</f>
        <v>770</v>
      </c>
      <c r="J19" s="2" t="s">
        <v>68</v>
      </c>
    </row>
    <row r="20" spans="1:10" ht="43.2" x14ac:dyDescent="0.3">
      <c r="A20" s="3">
        <v>5684112</v>
      </c>
      <c r="B20" s="3">
        <v>400615</v>
      </c>
      <c r="C20" s="3" t="s">
        <v>28</v>
      </c>
      <c r="D20" s="3" t="s">
        <v>9</v>
      </c>
      <c r="E20" s="3">
        <v>520</v>
      </c>
      <c r="F20" s="3" t="s">
        <v>10</v>
      </c>
      <c r="G20" s="3" t="s">
        <v>49</v>
      </c>
      <c r="H20" s="2" t="s">
        <v>66</v>
      </c>
      <c r="I20" s="2">
        <v>1290</v>
      </c>
      <c r="J20" s="2" t="s">
        <v>67</v>
      </c>
    </row>
    <row r="21" spans="1:10" ht="57.6" x14ac:dyDescent="0.3">
      <c r="A21" s="3">
        <v>5684795</v>
      </c>
      <c r="B21" s="3">
        <v>402107</v>
      </c>
      <c r="C21" s="3" t="s">
        <v>50</v>
      </c>
      <c r="D21" s="3" t="s">
        <v>24</v>
      </c>
      <c r="E21" s="3">
        <v>500</v>
      </c>
      <c r="F21" s="3" t="s">
        <v>19</v>
      </c>
      <c r="G21" s="3" t="s">
        <v>51</v>
      </c>
      <c r="H21" s="2" t="s">
        <v>66</v>
      </c>
      <c r="I21" s="2">
        <v>750</v>
      </c>
      <c r="J21" s="2" t="s">
        <v>67</v>
      </c>
    </row>
    <row r="22" spans="1:10" ht="43.2" x14ac:dyDescent="0.3">
      <c r="A22" s="3">
        <v>5685170</v>
      </c>
      <c r="B22" s="3">
        <v>410206</v>
      </c>
      <c r="C22" s="3" t="s">
        <v>26</v>
      </c>
      <c r="D22" s="3" t="s">
        <v>9</v>
      </c>
      <c r="E22" s="3">
        <v>520</v>
      </c>
      <c r="F22" s="3" t="s">
        <v>14</v>
      </c>
      <c r="G22" s="3" t="s">
        <v>52</v>
      </c>
      <c r="H22" s="2" t="s">
        <v>66</v>
      </c>
      <c r="I22" s="2">
        <f>520+250</f>
        <v>770</v>
      </c>
      <c r="J22" s="2" t="s">
        <v>68</v>
      </c>
    </row>
    <row r="23" spans="1:10" ht="57.6" x14ac:dyDescent="0.3">
      <c r="A23" s="3">
        <v>5692231</v>
      </c>
      <c r="B23" s="3">
        <v>400707</v>
      </c>
      <c r="C23" s="3" t="s">
        <v>53</v>
      </c>
      <c r="D23" s="3" t="s">
        <v>54</v>
      </c>
      <c r="E23" s="3">
        <v>150</v>
      </c>
      <c r="F23" s="3" t="s">
        <v>14</v>
      </c>
      <c r="G23" s="3" t="s">
        <v>55</v>
      </c>
      <c r="H23" s="2" t="s">
        <v>75</v>
      </c>
      <c r="I23" s="2">
        <f>150+250</f>
        <v>400</v>
      </c>
      <c r="J23" s="2" t="s">
        <v>68</v>
      </c>
    </row>
    <row r="24" spans="1:10" ht="57.6" x14ac:dyDescent="0.3">
      <c r="A24" s="3">
        <v>5709929</v>
      </c>
      <c r="B24" s="3">
        <v>402107</v>
      </c>
      <c r="C24" s="3" t="s">
        <v>23</v>
      </c>
      <c r="D24" s="3" t="s">
        <v>24</v>
      </c>
      <c r="E24" s="3">
        <v>500</v>
      </c>
      <c r="F24" s="3" t="s">
        <v>19</v>
      </c>
      <c r="G24" s="3" t="s">
        <v>56</v>
      </c>
      <c r="H24" s="2" t="s">
        <v>66</v>
      </c>
      <c r="I24" s="2">
        <v>750</v>
      </c>
      <c r="J24" s="2" t="s">
        <v>67</v>
      </c>
    </row>
    <row r="25" spans="1:10" ht="43.2" x14ac:dyDescent="0.3">
      <c r="A25" s="3">
        <v>5710325</v>
      </c>
      <c r="B25" s="3">
        <v>402107</v>
      </c>
      <c r="C25" s="3" t="s">
        <v>57</v>
      </c>
      <c r="D25" s="3" t="s">
        <v>33</v>
      </c>
      <c r="E25" s="3">
        <v>520</v>
      </c>
      <c r="F25" s="3" t="s">
        <v>19</v>
      </c>
      <c r="G25" s="3" t="s">
        <v>58</v>
      </c>
      <c r="H25" s="2" t="s">
        <v>66</v>
      </c>
      <c r="I25" s="2">
        <v>770</v>
      </c>
      <c r="J25" s="2" t="s">
        <v>67</v>
      </c>
    </row>
    <row r="26" spans="1:10" ht="43.2" x14ac:dyDescent="0.3">
      <c r="A26" s="3">
        <v>5710699</v>
      </c>
      <c r="B26" s="3">
        <v>402207</v>
      </c>
      <c r="C26" s="3" t="s">
        <v>8</v>
      </c>
      <c r="D26" s="3" t="s">
        <v>9</v>
      </c>
      <c r="E26" s="3">
        <v>520</v>
      </c>
      <c r="F26" s="3" t="s">
        <v>19</v>
      </c>
      <c r="G26" s="3" t="s">
        <v>59</v>
      </c>
      <c r="H26" s="2" t="s">
        <v>66</v>
      </c>
      <c r="I26" s="2">
        <v>770</v>
      </c>
      <c r="J26" s="2" t="s">
        <v>67</v>
      </c>
    </row>
    <row r="27" spans="1:10" ht="43.2" x14ac:dyDescent="0.3">
      <c r="A27" s="3">
        <v>5724522</v>
      </c>
      <c r="B27" s="3">
        <v>400615</v>
      </c>
      <c r="C27" s="3" t="s">
        <v>39</v>
      </c>
      <c r="D27" s="3" t="s">
        <v>18</v>
      </c>
      <c r="E27" s="3">
        <v>550</v>
      </c>
      <c r="F27" s="3" t="s">
        <v>10</v>
      </c>
      <c r="G27" s="3" t="s">
        <v>60</v>
      </c>
      <c r="H27" s="2" t="s">
        <v>66</v>
      </c>
      <c r="I27" s="2">
        <v>800</v>
      </c>
      <c r="J27" s="2" t="s">
        <v>67</v>
      </c>
    </row>
    <row r="28" spans="1:10" ht="43.2" x14ac:dyDescent="0.3">
      <c r="A28" s="3">
        <v>5725444</v>
      </c>
      <c r="B28" s="3">
        <v>400026</v>
      </c>
      <c r="C28" s="3" t="s">
        <v>37</v>
      </c>
      <c r="D28" s="3" t="s">
        <v>9</v>
      </c>
      <c r="E28" s="3">
        <v>520</v>
      </c>
      <c r="F28" s="3" t="s">
        <v>30</v>
      </c>
      <c r="G28" s="3" t="s">
        <v>61</v>
      </c>
      <c r="H28" s="2" t="s">
        <v>66</v>
      </c>
      <c r="I28" s="2">
        <v>770</v>
      </c>
      <c r="J28" s="2" t="s">
        <v>68</v>
      </c>
    </row>
    <row r="29" spans="1:10" ht="43.2" x14ac:dyDescent="0.3">
      <c r="A29" s="3">
        <v>5738344</v>
      </c>
      <c r="B29" s="3">
        <v>402201</v>
      </c>
      <c r="C29" s="3" t="s">
        <v>57</v>
      </c>
      <c r="D29" s="3" t="s">
        <v>33</v>
      </c>
      <c r="E29" s="3">
        <v>520</v>
      </c>
      <c r="F29" s="3" t="s">
        <v>19</v>
      </c>
      <c r="G29" s="3" t="s">
        <v>62</v>
      </c>
      <c r="H29" s="2" t="s">
        <v>66</v>
      </c>
      <c r="I29" s="2">
        <v>770</v>
      </c>
      <c r="J29" s="2" t="s">
        <v>67</v>
      </c>
    </row>
    <row r="30" spans="1:10" ht="43.2" x14ac:dyDescent="0.3">
      <c r="A30" s="2">
        <v>5593610</v>
      </c>
      <c r="B30" s="2">
        <v>400615</v>
      </c>
      <c r="C30" s="3" t="s">
        <v>39</v>
      </c>
      <c r="D30" s="3" t="s">
        <v>18</v>
      </c>
      <c r="E30" s="3">
        <v>520</v>
      </c>
      <c r="F30" s="3" t="s">
        <v>10</v>
      </c>
      <c r="G30" s="3" t="s">
        <v>65</v>
      </c>
      <c r="H30" s="2" t="s">
        <v>66</v>
      </c>
      <c r="I30" s="2">
        <v>770</v>
      </c>
      <c r="J30" s="2" t="s">
        <v>67</v>
      </c>
    </row>
    <row r="31" spans="1:10" ht="28.8" x14ac:dyDescent="0.3">
      <c r="A31" s="2">
        <v>5665924</v>
      </c>
      <c r="C31" s="3" t="s">
        <v>37</v>
      </c>
      <c r="D31" s="3">
        <v>0</v>
      </c>
      <c r="E31" s="3">
        <v>250</v>
      </c>
      <c r="F31" s="3" t="s">
        <v>69</v>
      </c>
      <c r="G31" s="3" t="s">
        <v>70</v>
      </c>
      <c r="H31" s="2" t="s">
        <v>71</v>
      </c>
      <c r="I31" s="2">
        <v>250</v>
      </c>
      <c r="J31" s="2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Jayshankar Yadav</dc:creator>
  <cp:lastModifiedBy>Prasad Mahajan</cp:lastModifiedBy>
  <dcterms:created xsi:type="dcterms:W3CDTF">2026-07-11T06:44:25Z</dcterms:created>
  <dcterms:modified xsi:type="dcterms:W3CDTF">2026-07-30T07:58:58Z</dcterms:modified>
</cp:coreProperties>
</file>