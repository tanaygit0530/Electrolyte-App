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W" sheetId="2" state="visible" r:id="rId2"/>
  </sheets>
  <definedNames>
    <definedName name="_xlnm._FilterDatabase" localSheetId="1" hidden="1">'OW'!$A$1:$J$39</definedName>
  </definedNames>
  <calcPr calcId="191029" fullCalcOnLoad="1"/>
  <pivotCaches>
    <pivotCache xmlns:r="http://schemas.openxmlformats.org/officeDocument/2006/relationships" cacheId="22" r:id="rId3"/>
  </pivotCaches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rish's_PC" refreshedDate="46159.74690902778" createdVersion="8" refreshedVersion="8" minRefreshableVersion="3" recordCount="39" r:id="rId1">
  <cacheSource type="worksheet">
    <worksheetSource ref="A1:J1048576" sheet="OW"/>
  </cacheSource>
  <cacheFields count="10">
    <cacheField name="Case Number" uniqueList="1" numFmtId="0" sqlType="0" hierarchy="0" level="0" databaseField="1">
      <sharedItems count="0" containsBlank="1" containsInteger="1" containsNumber="1" containsString="0" minValue="5329453" maxValue="5446393"/>
    </cacheField>
    <cacheField name="Zip/Postal Code" uniqueList="1" numFmtId="0" sqlType="0" hierarchy="0" level="0" databaseField="1">
      <sharedItems count="0" containsBlank="1" containsInteger="1" containsNumber="1" containsString="0" minValue="400004" maxValue="410209"/>
    </cacheField>
    <cacheField name="Product Description" uniqueList="1" numFmtId="0" sqlType="0" hierarchy="0" level="0" databaseField="1">
      <sharedItems count="0" containsBlank="1"/>
    </cacheField>
    <cacheField name="Product Description2" uniqueList="1" numFmtId="0" sqlType="0" hierarchy="0" level="0" databaseField="1">
      <sharedItems count="0" containsBlank="1"/>
    </cacheField>
    <cacheField name="Product Item: Product Name: ASP Price" uniqueList="1" numFmtId="0" sqlType="0" hierarchy="0" level="0" databaseField="1">
      <sharedItems count="0" containsBlank="1" containsNumber="1" containsString="0" minValue="120.11" maxValue="649"/>
    </cacheField>
    <cacheField name="Owner" uniqueList="1" numFmtId="0" sqlType="0" hierarchy="0" level="0" databaseField="1">
      <sharedItems count="10" containsBlank="1">
        <s v=" Adesh Vartak"/>
        <s v="Ganesh Patil"/>
        <s v=" Kishor Patil"/>
        <s v="Santosh Shukla"/>
        <s v=" Anees  Idrisi"/>
        <s v=" Premnath Patil"/>
        <s v=" Ramesh Sonar"/>
        <s v=" Surender"/>
        <s v="Danny Mane"/>
        <m/>
      </sharedItems>
    </cacheField>
    <cacheField name="Customer Name" uniqueList="1" numFmtId="0" sqlType="0" hierarchy="0" level="0" databaseField="1">
      <sharedItems count="0" containsBlank="1"/>
    </cacheField>
    <cacheField name="Remark" uniqueList="1" numFmtId="0" sqlType="0" hierarchy="0" level="0" databaseField="1">
      <sharedItems count="0" containsBlank="1"/>
    </cacheField>
    <cacheField name="Amount" uniqueList="1" numFmtId="0" sqlType="0" hierarchy="0" level="0" databaseField="1">
      <sharedItems count="0" containsBlank="1" containsNumber="1" containsString="0" minValue="250" maxValue="1000"/>
    </cacheField>
    <cacheField name="MOP" uniqueList="1" numFmtId="0" sqlType="0" hierarchy="0" level="0" databaseField="1">
      <sharedItems count="3" containsBlank="1">
        <s v="Cash"/>
        <s v="UPI to Harish Sir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39">
  <r>
    <n v="5329453"/>
    <n v="400702"/>
    <s v="Atomberg Ameza Ceiling Fan 1200mm- Gloss Black_GV5"/>
    <s v="Plastic Bottom Cover along with Screw_Gloss Black_Ikano/Efficio Alpha/Ameza_GV5"/>
    <n v="150.11"/>
    <x v="0"/>
    <s v="Ranjit Karat"/>
    <s v="Bottom Cover + Service Charge"/>
    <n v="427.11"/>
    <x v="0"/>
  </r>
  <r>
    <n v="5334317"/>
    <n v="402201"/>
    <s v="Atomberg Efficio Ceiling Fan 1200MM - Brown_GV2"/>
    <s v="Consolidate PCB GV2_CF__Efficio_GV2"/>
    <n v="550.11"/>
    <x v="1"/>
    <s v="Lopesh Dakhane"/>
    <s v="PCB + Service Charge"/>
    <n v="900"/>
    <x v="1"/>
  </r>
  <r>
    <n v="5336261"/>
    <n v="402107"/>
    <s v="Atomberg Renesa Alpha Ceiling Fan 1200mm - White_GV4"/>
    <s v="PCB_Renesa Prime_GV5 (Capacitor)"/>
    <n v="520.11"/>
    <x v="1"/>
    <s v="Viraj Ratnagar"/>
    <s v="PCB + Service Charge"/>
    <n v="864"/>
    <x v="1"/>
  </r>
  <r>
    <n v="5343801"/>
    <n v="402201"/>
    <s v="Atomberg Renesa+ Ceiling Fan 0900MM - Pearl White_GV3"/>
    <s v="Power PCB (Without Potting) WH_CF_Renesa_GV3"/>
    <n v="520.11"/>
    <x v="1"/>
    <s v="ramdevelectric64"/>
    <s v="PCB + Service Charge"/>
    <n v="864"/>
    <x v="1"/>
  </r>
  <r>
    <n v="5347671"/>
    <n v="410206"/>
    <s v="Atomberg Renesa+ Ceiling Fan 1200MM - Golden Oak_GV3"/>
    <s v="CF_Universal Remote New"/>
    <n v="160.11"/>
    <x v="0"/>
    <s v="Damini Choudhary"/>
    <s v="Remote + Service chagr"/>
    <n v="439"/>
    <x v="0"/>
  </r>
  <r>
    <n v="5353624"/>
    <n v="400012"/>
    <s v="Atomberg Studio+ Exhaust 150mm - Brown_EXH"/>
    <m/>
    <m/>
    <x v="2"/>
    <s v="Seems Singh"/>
    <s v="Service Charge"/>
    <n v="250"/>
    <x v="0"/>
  </r>
  <r>
    <n v="5356428"/>
    <n v="400009"/>
    <s v="Atomberg Studio Ceiling Fan 1200MM - Sand Grey_GV2"/>
    <s v="Consolidate PCB GV2_CF__Efficio_GV2"/>
    <n v="550.11"/>
    <x v="3"/>
    <s v="manoj ramakant koli"/>
    <s v="PCB + Service Charge"/>
    <n v="899"/>
    <x v="0"/>
  </r>
  <r>
    <n v="5363180"/>
    <n v="400012"/>
    <s v="Atomberg Renesa Alpha Ceiling Fan 1200mm - White_GV4"/>
    <s v="PCB_Renesa Prime_GV5 (Capacitor)"/>
    <n v="520.11"/>
    <x v="4"/>
    <s v="Nirali Agarwal"/>
    <s v="PCB + Service Charge"/>
    <n v="800"/>
    <x v="1"/>
  </r>
  <r>
    <n v="5365806"/>
    <n v="400016"/>
    <s v="Atomberg Renesa Ceiling Fan 1200MM- Matt Brown_GV3"/>
    <m/>
    <m/>
    <x v="4"/>
    <s v="Vishal Deodhar"/>
    <s v="Service Charge"/>
    <n v="250"/>
    <x v="1"/>
  </r>
  <r>
    <n v="5366708"/>
    <n v="400016"/>
    <s v="Atomberg Efficio Ceiling Fan 1200MM - Brown_GV2"/>
    <s v="Consolidate PCB GV2_CF__Efficio_GV2"/>
    <n v="550.11"/>
    <x v="4"/>
    <s v="DEEPAK BALKRISHNA NAIK"/>
    <s v="PCB + Service Charge"/>
    <n v="1000"/>
    <x v="1"/>
  </r>
  <r>
    <n v="5367992"/>
    <n v="402201"/>
    <s v="Atomberg Studio+ Ceiling Fan 1200mm - Earth Brown_GV4"/>
    <s v="PCB_Remote_1200mm_Studio+_GV4"/>
    <n v="520.11"/>
    <x v="1"/>
    <s v="nitinbhayde2"/>
    <s v="PCB + Service Charge"/>
    <n v="864"/>
    <x v="1"/>
  </r>
  <r>
    <n v="5371738"/>
    <n v="400016"/>
    <s v="Atomberg Renesa Ceiling Fan 0600MM-Matt Brown &amp; Black_GV3"/>
    <m/>
    <m/>
    <x v="4"/>
    <s v="Vishal Deodhar"/>
    <s v="Service Charge"/>
    <n v="250"/>
    <x v="1"/>
  </r>
  <r>
    <n v="5373706"/>
    <n v="400016"/>
    <s v="Atomberg Renesa Ceiling Fan 0600mm- White_GV3"/>
    <m/>
    <m/>
    <x v="4"/>
    <s v="Vishal Deodhar"/>
    <s v="Service Charge"/>
    <n v="250"/>
    <x v="1"/>
  </r>
  <r>
    <n v="5373706"/>
    <n v="400016"/>
    <s v="Atomberg Renesa Ceiling Fan 1200MM - White_GV3"/>
    <m/>
    <m/>
    <x v="4"/>
    <s v="Vishal Deodhar"/>
    <s v="Service Charge"/>
    <n v="250"/>
    <x v="1"/>
  </r>
  <r>
    <n v="5377634"/>
    <n v="402109"/>
    <s v="Atomberg Ikano Ceiling Fan 1200mm - Gloss Black_GV5"/>
    <m/>
    <m/>
    <x v="5"/>
    <s v="Fk"/>
    <s v="PCB + Service Charge"/>
    <n v="864"/>
    <x v="1"/>
  </r>
  <r>
    <n v="5378166"/>
    <n v="402302"/>
    <s v="Atomberg_Renesa Ceiling Fan 1200MM-Midnight Black_GV3"/>
    <m/>
    <m/>
    <x v="6"/>
    <s v="ganesh keshav ghoriye"/>
    <s v="Service Charge"/>
    <n v="250"/>
    <x v="0"/>
  </r>
  <r>
    <n v="5384716"/>
    <n v="400615"/>
    <s v="Atomberg Efficio+ Ceiling Fan 1200MM - Sand Grey_GV2"/>
    <s v="Consolidate PCB GV2_CF__Efficio_GV2"/>
    <n v="550.11"/>
    <x v="7"/>
    <s v="Shrikesh Pandey"/>
    <s v="PCB + Service Charge"/>
    <n v="800"/>
    <x v="0"/>
  </r>
  <r>
    <n v="5386070"/>
    <n v="400702"/>
    <s v="Atomberg Studio+ Ceiling Fan 1200mm - Earth Brown_GV4"/>
    <s v="PCB_Remote_1200mm_Studio+_GV4"/>
    <n v="520.11"/>
    <x v="0"/>
    <s v="ranjit Ranjit patil"/>
    <s v="PCB + Service Charge"/>
    <n v="770"/>
    <x v="0"/>
  </r>
  <r>
    <n v="5386701"/>
    <n v="400607"/>
    <s v="Atomberg Renesa+ Ceiling Fan 1200MM - Pearl White_GV3"/>
    <s v="Consolidate PCB GV3_CF_Renesa+_GV3"/>
    <n v="520.11"/>
    <x v="7"/>
    <s v="Rajesh Malviya"/>
    <s v="PCB + Service Charge"/>
    <n v="800"/>
    <x v="0"/>
  </r>
  <r>
    <n v="5390326"/>
    <n v="400615"/>
    <s v="Atomberg Renesa Ceiling Fan 1200MM - White_GV3"/>
    <m/>
    <m/>
    <x v="7"/>
    <s v="BIBINU"/>
    <s v="Service Charge"/>
    <n v="250"/>
    <x v="0"/>
  </r>
  <r>
    <n v="5391628"/>
    <n v="410209"/>
    <s v="Atomberg Efficio Ceiling Fan 1200MM - White_GV2"/>
    <m/>
    <m/>
    <x v="8"/>
    <s v="balaji gupta"/>
    <s v="Service Charge"/>
    <n v="250"/>
    <x v="0"/>
  </r>
  <r>
    <n v="5395694"/>
    <n v="402107"/>
    <s v="Atomberg Ameza Ceiling Fan 1200mm - Gloss Ivory_GV5"/>
    <m/>
    <m/>
    <x v="1"/>
    <s v="Omkar Dattatray Gadgil"/>
    <s v="Service Charge"/>
    <n v="250"/>
    <x v="1"/>
  </r>
  <r>
    <n v="5395769"/>
    <n v="402107"/>
    <s v="Atomberg Ameza Ceiling Fan 1200mm - Gloss Ivory_GV5"/>
    <m/>
    <m/>
    <x v="1"/>
    <s v="Omkar Dattatray Gadgil"/>
    <s v="Service Charge"/>
    <n v="250"/>
    <x v="1"/>
  </r>
  <r>
    <n v="5405127"/>
    <n v="400615"/>
    <s v="Atomberg Renesa Ceiling Fan 1200MM- Matt Brown_GV3"/>
    <s v="Power PCB (Without Potting) BL_CF_Renesa_GV3"/>
    <n v="520.11"/>
    <x v="7"/>
    <s v="Shital"/>
    <s v="PCB + Service Charge"/>
    <n v="863"/>
    <x v="1"/>
  </r>
  <r>
    <n v="5413468"/>
    <n v="400706"/>
    <s v="Atomberg Studio+ Ceiling Fan 1200mm - Earth Brown_GV4"/>
    <s v="PCB_Remote_1200mm_Studio+_GV4"/>
    <n v="520.11"/>
    <x v="0"/>
    <s v="fatima azgarali"/>
    <s v="PCB + Service Charge"/>
    <n v="770"/>
    <x v="0"/>
  </r>
  <r>
    <n v="5413876"/>
    <n v="400015"/>
    <s v="Atomberg Efficio+ Ceiling Fan 1200MM - Earth Brown_GV2"/>
    <m/>
    <m/>
    <x v="3"/>
    <s v="Saif Shaikh"/>
    <s v="Service Charge"/>
    <n v="250"/>
    <x v="0"/>
  </r>
  <r>
    <n v="5422070"/>
    <n v="400004"/>
    <s v="Atomberg Efficio Ceiling Fan 1200MM - Brown_GV2"/>
    <m/>
    <m/>
    <x v="3"/>
    <s v="Siddhesh Patwa"/>
    <s v="Service Charge"/>
    <n v="250"/>
    <x v="0"/>
  </r>
  <r>
    <n v="5429795"/>
    <n v="400706"/>
    <s v="Atomberg Efficio Ceiling Fan 1200MM - Brown_GV2"/>
    <s v="Sensor PCB_CF"/>
    <n v="120.11"/>
    <x v="0"/>
    <s v="Abdul Rauf"/>
    <s v="PCB + Service Charge"/>
    <n v="392"/>
    <x v="0"/>
  </r>
  <r>
    <n v="5432106"/>
    <n v="410206"/>
    <s v="Atomberg Studio+ Ceiling Fan 1200MM - Sand Grey_GV5"/>
    <s v="Updated STM32 PCB C0_0.6M/0.9M/1.2M/ 1.4M_ Renesa/Renesa+/Studio+/Ikano/Prime_GV5"/>
    <n v="500.11"/>
    <x v="0"/>
    <s v="Pankaj Bagul"/>
    <s v="PCB + Service Charge"/>
    <n v="750"/>
    <x v="1"/>
  </r>
  <r>
    <n v="5435807"/>
    <n v="400019"/>
    <s v="Atomberg Studio+ Ceiling Fan 1200mm - Earth Brown_GV4"/>
    <m/>
    <m/>
    <x v="4"/>
    <s v="Jay Shah"/>
    <s v="Service Charge"/>
    <n v="250"/>
    <x v="1"/>
  </r>
  <r>
    <n v="5440702"/>
    <n v="400006"/>
    <s v="Atomberg Efficio Ceiling Fan 1200MM - White_GV2"/>
    <s v="Consolidate PCB GV2_CF__Efficio_GV2"/>
    <n v="550.11"/>
    <x v="3"/>
    <s v="Saloni Doshi"/>
    <s v="PCB + Service Charge"/>
    <n v="899"/>
    <x v="0"/>
  </r>
  <r>
    <n v="5442621"/>
    <n v="400706"/>
    <s v="Atomberg Renesa Ceiling Fan 1200MM-Matte Brown &amp; Black_GV3"/>
    <s v="Consolidate PCB GV3_CF_Renesa+_GV3"/>
    <n v="520.11"/>
    <x v="0"/>
    <s v="Vaishnavi Chari"/>
    <s v="PCB + Service Charge"/>
    <n v="770"/>
    <x v="0"/>
  </r>
  <r>
    <n v="5444720"/>
    <n v="400706"/>
    <s v="Atomberg Efficio Ceiling Fan 1200MM - White_GV2"/>
    <s v="Consolidate PCB GV2_CF__Efficio_GV2"/>
    <n v="550.11"/>
    <x v="0"/>
    <s v="Srinivasan Chidambaram"/>
    <s v="PCB + Service Charge"/>
    <n v="800"/>
    <x v="0"/>
  </r>
  <r>
    <n v="5446293"/>
    <n v="400706"/>
    <s v="Atomberg_Renesa Ceiling Fan 1200MM-Midnight Black_GV3"/>
    <m/>
    <m/>
    <x v="0"/>
    <s v="siddhu ghodke"/>
    <s v="Service Charge"/>
    <n v="250"/>
    <x v="0"/>
  </r>
  <r>
    <n v="5409542"/>
    <n v="400006"/>
    <s v="Atomberg Efficio Ceiling Fan 1200MM - White_GV2"/>
    <s v="Consolidate PCB GV2_CF__Efficio_GV2"/>
    <n v="649"/>
    <x v="3"/>
    <s v="Dwiten"/>
    <s v="PCB + Service Charge"/>
    <n v="899"/>
    <x v="0"/>
  </r>
  <r>
    <n v="5420539"/>
    <n v="400006"/>
    <s v="Atomberg Efficio Ceiling Fan 1200MM - White_GV2"/>
    <s v="Consolidate PCB GV2_CF__Efficio_GV2"/>
    <n v="649"/>
    <x v="1"/>
    <s v="Prashant"/>
    <s v="PCB + Service Charge"/>
    <n v="864"/>
    <x v="1"/>
  </r>
  <r>
    <n v="5435538"/>
    <n v="400006"/>
    <s v="Atomberg Efficio Ceiling Fan 1200MM - White_GV2"/>
    <s v="Consolidate PCB GV2_CF__Efficio_GV2"/>
    <n v="649"/>
    <x v="1"/>
    <s v="Shrikant"/>
    <s v="PCB + Service Charge"/>
    <n v="864"/>
    <x v="1"/>
  </r>
  <r>
    <n v="5446393"/>
    <n v="400706"/>
    <s v="Atomberg_Renesa Ceiling Fan 1200MM-Midnight Black_GV3"/>
    <m/>
    <m/>
    <x v="0"/>
    <s v="Sidhu"/>
    <s v="Service Charge"/>
    <n v="250"/>
    <x v="0"/>
  </r>
  <r>
    <m/>
    <m/>
    <m/>
    <m/>
    <m/>
    <x v="9"/>
    <m/>
    <m/>
    <m/>
    <x v="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2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 rowPageCount="1" colPageCount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4"/>
        <item t="data" sd="1" x="2"/>
        <item t="data" sd="1" x="5"/>
        <item t="data" sd="1" x="6"/>
        <item t="data" sd="1" x="7"/>
        <item t="data" sd="1" x="8"/>
        <item t="data" sd="1" x="1"/>
        <item t="data" sd="1" x="3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</pivotFields>
  <rowFields count="1">
    <field x="5"/>
  </rowFields>
  <rowItems count="7">
    <i t="data" r="0" i="0">
      <x v="0"/>
    </i>
    <i t="data" r="0" i="0">
      <x v="2"/>
    </i>
    <i t="data" r="0" i="0">
      <x v="4"/>
    </i>
    <i t="data" r="0" i="0">
      <x v="5"/>
    </i>
    <i t="data" r="0" i="0">
      <x v="6"/>
    </i>
    <i t="data" r="0" i="0">
      <x v="8"/>
    </i>
    <i t="grand" r="0" i="0">
      <x v="0"/>
    </i>
  </rowItems>
  <colItems count="1">
    <i t="data" r="0" i="0"/>
  </colItems>
  <pageFields count="1">
    <pageField fld="9" item="0" hier="-1"/>
  </pageFields>
  <dataFields count="1">
    <dataField name="Sum of Amount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E21" sqref="E21"/>
    </sheetView>
  </sheetViews>
  <sheetFormatPr baseColWidth="8" defaultRowHeight="14.4"/>
  <cols>
    <col width="13.21875" bestFit="1" customWidth="1" style="5" min="1" max="1"/>
    <col width="13.5546875" bestFit="1" customWidth="1" style="5" min="2" max="2"/>
    <col width="4" bestFit="1" customWidth="1" style="5" min="3" max="3"/>
    <col width="7" bestFit="1" customWidth="1" style="5" min="4" max="4"/>
    <col width="4" bestFit="1" customWidth="1" style="5" min="5" max="8"/>
    <col width="10.5546875" bestFit="1" customWidth="1" style="5" min="9" max="9"/>
    <col width="15.33203125" bestFit="1" customWidth="1" style="5" min="10" max="10"/>
    <col width="15.44140625" bestFit="1" customWidth="1" style="5" min="11" max="11"/>
    <col width="18.33203125" bestFit="1" customWidth="1" style="5" min="12" max="12"/>
    <col width="14.88671875" bestFit="1" customWidth="1" style="5" min="13" max="13"/>
    <col width="17.77734375" bestFit="1" customWidth="1" style="5" min="14" max="14"/>
    <col width="10.5546875" bestFit="1" customWidth="1" style="5" min="15" max="15"/>
    <col width="4" bestFit="1" customWidth="1" style="5" min="16" max="16"/>
    <col width="13.44140625" bestFit="1" customWidth="1" style="5" min="17" max="17"/>
    <col width="12.5546875" bestFit="1" customWidth="1" style="5" min="18" max="18"/>
    <col width="15.44140625" bestFit="1" customWidth="1" style="5" min="19" max="20"/>
    <col width="4" bestFit="1" customWidth="1" style="5" min="21" max="21"/>
    <col width="18.33203125" bestFit="1" customWidth="1" style="5" min="22" max="22"/>
    <col width="10.5546875" bestFit="1" customWidth="1" style="5" min="23" max="23"/>
  </cols>
  <sheetData>
    <row r="1">
      <c r="A1" s="3" t="inlineStr">
        <is>
          <t>MOP</t>
        </is>
      </c>
      <c r="B1" t="inlineStr">
        <is>
          <t>Cash</t>
        </is>
      </c>
    </row>
    <row r="3">
      <c r="A3" s="3" t="inlineStr">
        <is>
          <t>Row Labels</t>
        </is>
      </c>
      <c r="B3" t="inlineStr">
        <is>
          <t>Sum of Amount</t>
        </is>
      </c>
    </row>
    <row r="4">
      <c r="A4" s="4" t="inlineStr">
        <is>
          <t xml:space="preserve"> Adesh Vartak</t>
        </is>
      </c>
      <c r="B4" t="n">
        <v>4868.110000000001</v>
      </c>
    </row>
    <row r="5">
      <c r="A5" s="4" t="inlineStr">
        <is>
          <t xml:space="preserve"> Kishor Patil</t>
        </is>
      </c>
      <c r="B5" t="n">
        <v>250</v>
      </c>
    </row>
    <row r="6">
      <c r="A6" s="4" t="inlineStr">
        <is>
          <t xml:space="preserve"> Ramesh Sonar</t>
        </is>
      </c>
      <c r="B6" t="n">
        <v>250</v>
      </c>
    </row>
    <row r="7">
      <c r="A7" s="4" t="inlineStr">
        <is>
          <t xml:space="preserve"> Surender</t>
        </is>
      </c>
      <c r="B7" t="n">
        <v>1850</v>
      </c>
    </row>
    <row r="8">
      <c r="A8" s="4" t="inlineStr">
        <is>
          <t>Danny Mane</t>
        </is>
      </c>
      <c r="B8" t="n">
        <v>250</v>
      </c>
    </row>
    <row r="9">
      <c r="A9" s="4" t="inlineStr">
        <is>
          <t>Santosh Shukla</t>
        </is>
      </c>
      <c r="B9" t="n">
        <v>3197</v>
      </c>
    </row>
    <row r="10">
      <c r="A10" s="4" t="inlineStr">
        <is>
          <t>Grand Total</t>
        </is>
      </c>
      <c r="B10" t="n">
        <v>10665.11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39"/>
  <sheetViews>
    <sheetView workbookViewId="0">
      <selection activeCell="J16" sqref="J16"/>
    </sheetView>
  </sheetViews>
  <sheetFormatPr baseColWidth="8" defaultRowHeight="45.6" customHeight="1"/>
  <cols>
    <col width="16.44140625" bestFit="1" customWidth="1" style="1" min="1" max="1"/>
    <col width="18.109375" bestFit="1" customWidth="1" style="1" min="2" max="2"/>
    <col width="21.77734375" bestFit="1" customWidth="1" style="1" min="3" max="3"/>
    <col width="36.6640625" bestFit="1" customWidth="1" style="1" min="4" max="4"/>
    <col width="17.6640625" bestFit="1" customWidth="1" style="1" min="5" max="5"/>
    <col width="13.21875" bestFit="1" customWidth="1" style="1" min="6" max="6"/>
    <col width="18.6640625" bestFit="1" customWidth="1" style="1" min="7" max="7"/>
    <col width="11.6640625" bestFit="1" customWidth="1" style="1" min="8" max="9"/>
    <col width="9.33203125" bestFit="1" customWidth="1" style="1" min="10" max="10"/>
    <col width="8.88671875" customWidth="1" style="1" min="11" max="16384"/>
  </cols>
  <sheetData>
    <row r="1" ht="45.6" customHeight="1" s="5">
      <c r="A1" s="2" t="inlineStr">
        <is>
          <t>Case Number</t>
        </is>
      </c>
      <c r="B1" s="2" t="inlineStr">
        <is>
          <t>Zip/Postal Code</t>
        </is>
      </c>
      <c r="C1" s="2" t="inlineStr">
        <is>
          <t>Product Description</t>
        </is>
      </c>
      <c r="D1" s="2" t="inlineStr">
        <is>
          <t>Product Description</t>
        </is>
      </c>
      <c r="E1" s="2" t="inlineStr">
        <is>
          <t>Product Item: Product Name: ASP Price</t>
        </is>
      </c>
      <c r="F1" s="2" t="inlineStr">
        <is>
          <t>Owner</t>
        </is>
      </c>
      <c r="G1" s="2" t="inlineStr">
        <is>
          <t>Customer Name</t>
        </is>
      </c>
      <c r="H1" s="2" t="inlineStr">
        <is>
          <t>Remark</t>
        </is>
      </c>
      <c r="I1" s="2" t="inlineStr">
        <is>
          <t>Amount</t>
        </is>
      </c>
      <c r="J1" s="2" t="inlineStr">
        <is>
          <t>MOP</t>
        </is>
      </c>
    </row>
    <row r="2" ht="45.6" customHeight="1" s="5">
      <c r="A2" s="1" t="n">
        <v>5329453</v>
      </c>
      <c r="B2" s="1" t="n">
        <v>400702</v>
      </c>
      <c r="C2" s="1" t="inlineStr">
        <is>
          <t>Atomberg Ameza Ceiling Fan 1200mm- Gloss Black_GV5</t>
        </is>
      </c>
      <c r="D2" s="1" t="inlineStr">
        <is>
          <t>Plastic Bottom Cover along with Screw_Gloss Black_Ikano/Efficio Alpha/Ameza_GV5</t>
        </is>
      </c>
      <c r="E2" s="1" t="n">
        <v>150.11</v>
      </c>
      <c r="F2" s="1" t="inlineStr">
        <is>
          <t xml:space="preserve"> Adesh Vartak</t>
        </is>
      </c>
      <c r="G2" s="1" t="inlineStr">
        <is>
          <t>Ranjit Karat</t>
        </is>
      </c>
      <c r="H2" s="1" t="inlineStr">
        <is>
          <t>Bottom Cover + Service Charge</t>
        </is>
      </c>
      <c r="I2" s="1">
        <f>150.11+250+27</f>
        <v/>
      </c>
      <c r="J2" s="1" t="inlineStr">
        <is>
          <t>Cash</t>
        </is>
      </c>
    </row>
    <row r="3" hidden="1" ht="45.6" customHeight="1" s="5">
      <c r="A3" s="1" t="n">
        <v>5334317</v>
      </c>
      <c r="B3" s="1" t="n">
        <v>402201</v>
      </c>
      <c r="C3" s="1" t="inlineStr">
        <is>
          <t>Atomberg Efficio Ceiling Fan 1200MM - Brown_GV2</t>
        </is>
      </c>
      <c r="D3" s="1" t="inlineStr">
        <is>
          <t>Consolidate PCB GV2_CF__Efficio_GV2</t>
        </is>
      </c>
      <c r="E3" s="1" t="n">
        <v>550.11</v>
      </c>
      <c r="F3" s="1" t="inlineStr">
        <is>
          <t>Ganesh Patil</t>
        </is>
      </c>
      <c r="G3" s="1" t="inlineStr">
        <is>
          <t>Lopesh Dakhane</t>
        </is>
      </c>
      <c r="H3" s="1" t="inlineStr">
        <is>
          <t>PCB + Service Charge</t>
        </is>
      </c>
      <c r="I3" s="1" t="n">
        <v>900</v>
      </c>
      <c r="J3" s="1" t="inlineStr">
        <is>
          <t>UPI to Harish Sir</t>
        </is>
      </c>
    </row>
    <row r="4" hidden="1" ht="45.6" customHeight="1" s="5">
      <c r="A4" s="1" t="n">
        <v>5336261</v>
      </c>
      <c r="B4" s="1" t="n">
        <v>402107</v>
      </c>
      <c r="C4" s="1" t="inlineStr">
        <is>
          <t>Atomberg Renesa Alpha Ceiling Fan 1200mm - White_GV4</t>
        </is>
      </c>
      <c r="D4" s="1" t="inlineStr">
        <is>
          <t>PCB_Renesa Prime_GV5 (Capacitor)</t>
        </is>
      </c>
      <c r="E4" s="1" t="n">
        <v>520.11</v>
      </c>
      <c r="F4" s="1" t="inlineStr">
        <is>
          <t>Ganesh Patil</t>
        </is>
      </c>
      <c r="G4" s="1" t="inlineStr">
        <is>
          <t>Viraj Ratnagar</t>
        </is>
      </c>
      <c r="H4" s="1" t="inlineStr">
        <is>
          <t>PCB + Service Charge</t>
        </is>
      </c>
      <c r="I4" s="1" t="n">
        <v>864</v>
      </c>
      <c r="J4" s="1" t="inlineStr">
        <is>
          <t>UPI to Harish Sir</t>
        </is>
      </c>
    </row>
    <row r="5" hidden="1" ht="45.6" customHeight="1" s="5">
      <c r="A5" s="1" t="n">
        <v>5343801</v>
      </c>
      <c r="B5" s="1" t="n">
        <v>402201</v>
      </c>
      <c r="C5" s="1" t="inlineStr">
        <is>
          <t>Atomberg Renesa+ Ceiling Fan 0900MM - Pearl White_GV3</t>
        </is>
      </c>
      <c r="D5" s="1" t="inlineStr">
        <is>
          <t>Power PCB (Without Potting) WH_CF_Renesa_GV3</t>
        </is>
      </c>
      <c r="E5" s="1" t="n">
        <v>520.11</v>
      </c>
      <c r="F5" s="1" t="inlineStr">
        <is>
          <t>Ganesh Patil</t>
        </is>
      </c>
      <c r="G5" s="1" t="inlineStr">
        <is>
          <t>ramdevelectric64</t>
        </is>
      </c>
      <c r="H5" s="1" t="inlineStr">
        <is>
          <t>PCB + Service Charge</t>
        </is>
      </c>
      <c r="I5" s="1" t="n">
        <v>864</v>
      </c>
      <c r="J5" s="1" t="inlineStr">
        <is>
          <t>UPI to Harish Sir</t>
        </is>
      </c>
    </row>
    <row r="6" ht="45.6" customHeight="1" s="5">
      <c r="A6" s="1" t="n">
        <v>5347671</v>
      </c>
      <c r="B6" s="1" t="n">
        <v>410206</v>
      </c>
      <c r="C6" s="1" t="inlineStr">
        <is>
          <t>Atomberg Renesa+ Ceiling Fan 1200MM - Golden Oak_GV3</t>
        </is>
      </c>
      <c r="D6" s="1" t="inlineStr">
        <is>
          <t>CF_Universal Remote New</t>
        </is>
      </c>
      <c r="E6" s="1" t="n">
        <v>160.11</v>
      </c>
      <c r="F6" s="1" t="inlineStr">
        <is>
          <t xml:space="preserve"> Adesh Vartak</t>
        </is>
      </c>
      <c r="G6" s="1" t="inlineStr">
        <is>
          <t>Damini Choudhary</t>
        </is>
      </c>
      <c r="H6" s="1" t="inlineStr">
        <is>
          <t>Remote + Service chagr</t>
        </is>
      </c>
      <c r="I6" s="1" t="n">
        <v>439</v>
      </c>
      <c r="J6" s="1" t="inlineStr">
        <is>
          <t>Cash</t>
        </is>
      </c>
    </row>
    <row r="7" ht="45.6" customHeight="1" s="5">
      <c r="A7" s="1" t="n">
        <v>5353624</v>
      </c>
      <c r="B7" s="1" t="n">
        <v>400012</v>
      </c>
      <c r="C7" s="1" t="inlineStr">
        <is>
          <t>Atomberg Studio+ Exhaust 150mm - Brown_EXH</t>
        </is>
      </c>
      <c r="F7" s="1" t="inlineStr">
        <is>
          <t xml:space="preserve"> Kishor Patil</t>
        </is>
      </c>
      <c r="G7" s="1" t="inlineStr">
        <is>
          <t>Seems Singh</t>
        </is>
      </c>
      <c r="H7" s="1" t="inlineStr">
        <is>
          <t>Service Charge</t>
        </is>
      </c>
      <c r="I7" s="1" t="n">
        <v>250</v>
      </c>
      <c r="J7" s="1" t="inlineStr">
        <is>
          <t>Cash</t>
        </is>
      </c>
    </row>
    <row r="8" ht="45.6" customHeight="1" s="5">
      <c r="A8" s="1" t="n">
        <v>5356428</v>
      </c>
      <c r="B8" s="1" t="n">
        <v>400009</v>
      </c>
      <c r="C8" s="1" t="inlineStr">
        <is>
          <t>Atomberg Studio Ceiling Fan 1200MM - Sand Grey_GV2</t>
        </is>
      </c>
      <c r="D8" s="1" t="inlineStr">
        <is>
          <t>Consolidate PCB GV2_CF__Efficio_GV2</t>
        </is>
      </c>
      <c r="E8" s="1" t="n">
        <v>550.11</v>
      </c>
      <c r="F8" s="1" t="inlineStr">
        <is>
          <t>Santosh Shukla</t>
        </is>
      </c>
      <c r="G8" s="1" t="inlineStr">
        <is>
          <t>manoj ramakant koli</t>
        </is>
      </c>
      <c r="H8" s="1" t="inlineStr">
        <is>
          <t>PCB + Service Charge</t>
        </is>
      </c>
      <c r="I8" s="1" t="n">
        <v>899</v>
      </c>
      <c r="J8" s="1" t="inlineStr">
        <is>
          <t>Cash</t>
        </is>
      </c>
    </row>
    <row r="9" hidden="1" ht="45.6" customHeight="1" s="5">
      <c r="A9" s="1" t="n">
        <v>5363180</v>
      </c>
      <c r="B9" s="1" t="n">
        <v>400012</v>
      </c>
      <c r="C9" s="1" t="inlineStr">
        <is>
          <t>Atomberg Renesa Alpha Ceiling Fan 1200mm - White_GV4</t>
        </is>
      </c>
      <c r="D9" s="1" t="inlineStr">
        <is>
          <t>PCB_Renesa Prime_GV5 (Capacitor)</t>
        </is>
      </c>
      <c r="E9" s="1" t="n">
        <v>520.11</v>
      </c>
      <c r="F9" s="1" t="inlineStr">
        <is>
          <t xml:space="preserve"> Anees  Idrisi</t>
        </is>
      </c>
      <c r="G9" s="1" t="inlineStr">
        <is>
          <t>Nirali Agarwal</t>
        </is>
      </c>
      <c r="H9" s="1" t="inlineStr">
        <is>
          <t>PCB + Service Charge</t>
        </is>
      </c>
      <c r="I9" s="1" t="n">
        <v>800</v>
      </c>
      <c r="J9" s="1" t="inlineStr">
        <is>
          <t>UPI to Harish Sir</t>
        </is>
      </c>
    </row>
    <row r="10" hidden="1" ht="45.6" customHeight="1" s="5">
      <c r="A10" s="1" t="n">
        <v>5365806</v>
      </c>
      <c r="B10" s="1" t="n">
        <v>400016</v>
      </c>
      <c r="C10" s="1" t="inlineStr">
        <is>
          <t>Atomberg Renesa Ceiling Fan 1200MM- Matt Brown_GV3</t>
        </is>
      </c>
      <c r="F10" s="1" t="inlineStr">
        <is>
          <t xml:space="preserve"> Anees  Idrisi</t>
        </is>
      </c>
      <c r="G10" s="1" t="inlineStr">
        <is>
          <t>Vishal Deodhar</t>
        </is>
      </c>
      <c r="H10" s="1" t="inlineStr">
        <is>
          <t>Service Charge</t>
        </is>
      </c>
      <c r="I10" s="1" t="n">
        <v>250</v>
      </c>
      <c r="J10" s="1" t="inlineStr">
        <is>
          <t>UPI to Harish Sir</t>
        </is>
      </c>
    </row>
    <row r="11" hidden="1" ht="45.6" customHeight="1" s="5">
      <c r="A11" s="1" t="n">
        <v>5366708</v>
      </c>
      <c r="B11" s="1" t="n">
        <v>400016</v>
      </c>
      <c r="C11" s="1" t="inlineStr">
        <is>
          <t>Atomberg Efficio Ceiling Fan 1200MM - Brown_GV2</t>
        </is>
      </c>
      <c r="D11" s="1" t="inlineStr">
        <is>
          <t>Consolidate PCB GV2_CF__Efficio_GV2</t>
        </is>
      </c>
      <c r="E11" s="1" t="n">
        <v>550.11</v>
      </c>
      <c r="F11" s="1" t="inlineStr">
        <is>
          <t xml:space="preserve"> Anees  Idrisi</t>
        </is>
      </c>
      <c r="G11" s="1" t="inlineStr">
        <is>
          <t>DEEPAK BALKRISHNA NAIK</t>
        </is>
      </c>
      <c r="H11" s="1" t="inlineStr">
        <is>
          <t>PCB + Service Charge</t>
        </is>
      </c>
      <c r="I11" s="1" t="n">
        <v>1000</v>
      </c>
      <c r="J11" s="1" t="inlineStr">
        <is>
          <t>UPI to Harish Sir</t>
        </is>
      </c>
    </row>
    <row r="12" hidden="1" ht="45.6" customHeight="1" s="5">
      <c r="A12" s="1" t="n">
        <v>5367992</v>
      </c>
      <c r="B12" s="1" t="n">
        <v>402201</v>
      </c>
      <c r="C12" s="1" t="inlineStr">
        <is>
          <t>Atomberg Studio+ Ceiling Fan 1200mm - Earth Brown_GV4</t>
        </is>
      </c>
      <c r="D12" s="1" t="inlineStr">
        <is>
          <t>PCB_Remote_1200mm_Studio+_GV4</t>
        </is>
      </c>
      <c r="E12" s="1" t="n">
        <v>520.11</v>
      </c>
      <c r="F12" s="1" t="inlineStr">
        <is>
          <t>Ganesh Patil</t>
        </is>
      </c>
      <c r="G12" s="1" t="inlineStr">
        <is>
          <t>nitinbhayde2</t>
        </is>
      </c>
      <c r="H12" s="1" t="inlineStr">
        <is>
          <t>PCB + Service Charge</t>
        </is>
      </c>
      <c r="I12" s="1" t="n">
        <v>864</v>
      </c>
      <c r="J12" s="1" t="inlineStr">
        <is>
          <t>UPI to Harish Sir</t>
        </is>
      </c>
    </row>
    <row r="13" hidden="1" ht="45.6" customHeight="1" s="5">
      <c r="A13" s="1" t="n">
        <v>5371738</v>
      </c>
      <c r="B13" s="1" t="n">
        <v>400016</v>
      </c>
      <c r="C13" s="1" t="inlineStr">
        <is>
          <t>Atomberg Renesa Ceiling Fan 0600MM-Matt Brown &amp; Black_GV3</t>
        </is>
      </c>
      <c r="F13" s="1" t="inlineStr">
        <is>
          <t xml:space="preserve"> Anees  Idrisi</t>
        </is>
      </c>
      <c r="G13" s="1" t="inlineStr">
        <is>
          <t>Vishal Deodhar</t>
        </is>
      </c>
      <c r="H13" s="1" t="inlineStr">
        <is>
          <t>Service Charge</t>
        </is>
      </c>
      <c r="I13" s="1" t="n">
        <v>250</v>
      </c>
      <c r="J13" s="1" t="inlineStr">
        <is>
          <t>UPI to Harish Sir</t>
        </is>
      </c>
    </row>
    <row r="14" hidden="1" ht="45.6" customHeight="1" s="5">
      <c r="A14" s="1" t="n">
        <v>5373706</v>
      </c>
      <c r="B14" s="1" t="n">
        <v>400016</v>
      </c>
      <c r="C14" s="1" t="inlineStr">
        <is>
          <t>Atomberg Renesa Ceiling Fan 0600mm- White_GV3</t>
        </is>
      </c>
      <c r="F14" s="1" t="inlineStr">
        <is>
          <t xml:space="preserve"> Anees  Idrisi</t>
        </is>
      </c>
      <c r="G14" s="1" t="inlineStr">
        <is>
          <t>Vishal Deodhar</t>
        </is>
      </c>
      <c r="H14" s="1" t="inlineStr">
        <is>
          <t>Service Charge</t>
        </is>
      </c>
      <c r="I14" s="1" t="n">
        <v>250</v>
      </c>
      <c r="J14" s="1" t="inlineStr">
        <is>
          <t>UPI to Harish Sir</t>
        </is>
      </c>
    </row>
    <row r="15" hidden="1" ht="45.6" customHeight="1" s="5">
      <c r="A15" s="1" t="n">
        <v>5373706</v>
      </c>
      <c r="B15" s="1" t="n">
        <v>400016</v>
      </c>
      <c r="C15" s="1" t="inlineStr">
        <is>
          <t>Atomberg Renesa Ceiling Fan 1200MM - White_GV3</t>
        </is>
      </c>
      <c r="F15" s="1" t="inlineStr">
        <is>
          <t xml:space="preserve"> Anees  Idrisi</t>
        </is>
      </c>
      <c r="G15" s="1" t="inlineStr">
        <is>
          <t>Vishal Deodhar</t>
        </is>
      </c>
      <c r="H15" s="1" t="inlineStr">
        <is>
          <t>Service Charge</t>
        </is>
      </c>
      <c r="I15" s="1" t="n">
        <v>250</v>
      </c>
      <c r="J15" s="1" t="inlineStr">
        <is>
          <t>UPI to Harish Sir</t>
        </is>
      </c>
    </row>
    <row r="16" hidden="1" ht="45.6" customHeight="1" s="5">
      <c r="A16" s="1" t="n">
        <v>5377634</v>
      </c>
      <c r="B16" s="1" t="n">
        <v>402109</v>
      </c>
      <c r="C16" s="1" t="inlineStr">
        <is>
          <t>Atomberg Ikano Ceiling Fan 1200mm - Gloss Black_GV5</t>
        </is>
      </c>
      <c r="F16" s="1" t="inlineStr">
        <is>
          <t xml:space="preserve"> Premnath Patil</t>
        </is>
      </c>
      <c r="G16" s="1" t="inlineStr">
        <is>
          <t>Fk</t>
        </is>
      </c>
      <c r="H16" s="1" t="inlineStr">
        <is>
          <t>PCB + Service Charge</t>
        </is>
      </c>
      <c r="I16" s="1" t="n">
        <v>864</v>
      </c>
      <c r="J16" s="1" t="inlineStr">
        <is>
          <t>UPI to Harish Sir</t>
        </is>
      </c>
    </row>
    <row r="17" ht="45.6" customHeight="1" s="5">
      <c r="A17" s="1" t="n">
        <v>5378166</v>
      </c>
      <c r="B17" s="1" t="n">
        <v>402302</v>
      </c>
      <c r="C17" s="1" t="inlineStr">
        <is>
          <t>Atomberg_Renesa Ceiling Fan 1200MM-Midnight Black_GV3</t>
        </is>
      </c>
      <c r="F17" s="1" t="inlineStr">
        <is>
          <t xml:space="preserve"> Ramesh Sonar</t>
        </is>
      </c>
      <c r="G17" s="1" t="inlineStr">
        <is>
          <t>ganesh keshav ghoriye</t>
        </is>
      </c>
      <c r="H17" s="1" t="inlineStr">
        <is>
          <t>Service Charge</t>
        </is>
      </c>
      <c r="I17" s="1" t="n">
        <v>250</v>
      </c>
      <c r="J17" s="1" t="inlineStr">
        <is>
          <t>Cash</t>
        </is>
      </c>
    </row>
    <row r="18" ht="45.6" customHeight="1" s="5">
      <c r="A18" s="1" t="n">
        <v>5384716</v>
      </c>
      <c r="B18" s="1" t="n">
        <v>400615</v>
      </c>
      <c r="C18" s="1" t="inlineStr">
        <is>
          <t>Atomberg Efficio+ Ceiling Fan 1200MM - Sand Grey_GV2</t>
        </is>
      </c>
      <c r="D18" s="1" t="inlineStr">
        <is>
          <t>Consolidate PCB GV2_CF__Efficio_GV2</t>
        </is>
      </c>
      <c r="E18" s="1" t="n">
        <v>550.11</v>
      </c>
      <c r="F18" s="1" t="inlineStr">
        <is>
          <t xml:space="preserve"> Surender</t>
        </is>
      </c>
      <c r="G18" s="1" t="inlineStr">
        <is>
          <t>Shrikesh Pandey</t>
        </is>
      </c>
      <c r="H18" s="1" t="inlineStr">
        <is>
          <t>PCB + Service Charge</t>
        </is>
      </c>
      <c r="I18" s="1" t="n">
        <v>800</v>
      </c>
      <c r="J18" s="1" t="inlineStr">
        <is>
          <t>Cash</t>
        </is>
      </c>
    </row>
    <row r="19" ht="45.6" customHeight="1" s="5">
      <c r="A19" s="1" t="n">
        <v>5386070</v>
      </c>
      <c r="B19" s="1" t="n">
        <v>400702</v>
      </c>
      <c r="C19" s="1" t="inlineStr">
        <is>
          <t>Atomberg Studio+ Ceiling Fan 1200mm - Earth Brown_GV4</t>
        </is>
      </c>
      <c r="D19" s="1" t="inlineStr">
        <is>
          <t>PCB_Remote_1200mm_Studio+_GV4</t>
        </is>
      </c>
      <c r="E19" s="1" t="n">
        <v>520.11</v>
      </c>
      <c r="F19" s="1" t="inlineStr">
        <is>
          <t xml:space="preserve"> Adesh Vartak</t>
        </is>
      </c>
      <c r="G19" s="1" t="inlineStr">
        <is>
          <t>ranjit Ranjit patil</t>
        </is>
      </c>
      <c r="H19" s="1" t="inlineStr">
        <is>
          <t>PCB + Service Charge</t>
        </is>
      </c>
      <c r="I19" s="1" t="n">
        <v>770</v>
      </c>
      <c r="J19" s="1" t="inlineStr">
        <is>
          <t>Cash</t>
        </is>
      </c>
    </row>
    <row r="20" ht="45.6" customHeight="1" s="5">
      <c r="A20" s="1" t="n">
        <v>5386701</v>
      </c>
      <c r="B20" s="1" t="n">
        <v>400607</v>
      </c>
      <c r="C20" s="1" t="inlineStr">
        <is>
          <t>Atomberg Renesa+ Ceiling Fan 1200MM - Pearl White_GV3</t>
        </is>
      </c>
      <c r="D20" s="1" t="inlineStr">
        <is>
          <t>Consolidate PCB GV3_CF_Renesa+_GV3</t>
        </is>
      </c>
      <c r="E20" s="1" t="n">
        <v>520.11</v>
      </c>
      <c r="F20" s="1" t="inlineStr">
        <is>
          <t xml:space="preserve"> Surender</t>
        </is>
      </c>
      <c r="G20" s="1" t="inlineStr">
        <is>
          <t>Rajesh Malviya</t>
        </is>
      </c>
      <c r="H20" s="1" t="inlineStr">
        <is>
          <t>PCB + Service Charge</t>
        </is>
      </c>
      <c r="I20" s="1" t="n">
        <v>800</v>
      </c>
      <c r="J20" s="1" t="inlineStr">
        <is>
          <t>Cash</t>
        </is>
      </c>
    </row>
    <row r="21" ht="45.6" customHeight="1" s="5">
      <c r="A21" s="1" t="n">
        <v>5390326</v>
      </c>
      <c r="B21" s="1" t="n">
        <v>400615</v>
      </c>
      <c r="C21" s="1" t="inlineStr">
        <is>
          <t>Atomberg Renesa Ceiling Fan 1200MM - White_GV3</t>
        </is>
      </c>
      <c r="F21" s="1" t="inlineStr">
        <is>
          <t xml:space="preserve"> Surender</t>
        </is>
      </c>
      <c r="G21" s="1" t="inlineStr">
        <is>
          <t>BIBINU</t>
        </is>
      </c>
      <c r="H21" s="1" t="inlineStr">
        <is>
          <t>Service Charge</t>
        </is>
      </c>
      <c r="I21" s="1" t="n">
        <v>250</v>
      </c>
      <c r="J21" s="1" t="inlineStr">
        <is>
          <t>Cash</t>
        </is>
      </c>
    </row>
    <row r="22" ht="45.6" customHeight="1" s="5">
      <c r="A22" s="1" t="n">
        <v>5391628</v>
      </c>
      <c r="B22" s="1" t="n">
        <v>410209</v>
      </c>
      <c r="C22" s="1" t="inlineStr">
        <is>
          <t>Atomberg Efficio Ceiling Fan 1200MM - White_GV2</t>
        </is>
      </c>
      <c r="F22" s="1" t="inlineStr">
        <is>
          <t>Danny Mane</t>
        </is>
      </c>
      <c r="G22" s="1" t="inlineStr">
        <is>
          <t>balaji gupta</t>
        </is>
      </c>
      <c r="H22" s="1" t="inlineStr">
        <is>
          <t>Service Charge</t>
        </is>
      </c>
      <c r="I22" s="1" t="n">
        <v>250</v>
      </c>
      <c r="J22" s="1" t="inlineStr">
        <is>
          <t>Cash</t>
        </is>
      </c>
    </row>
    <row r="23" hidden="1" ht="45.6" customHeight="1" s="5">
      <c r="A23" s="1" t="n">
        <v>5395694</v>
      </c>
      <c r="B23" s="1" t="n">
        <v>402107</v>
      </c>
      <c r="C23" s="1" t="inlineStr">
        <is>
          <t>Atomberg Ameza Ceiling Fan 1200mm - Gloss Ivory_GV5</t>
        </is>
      </c>
      <c r="F23" s="1" t="inlineStr">
        <is>
          <t>Ganesh Patil</t>
        </is>
      </c>
      <c r="G23" s="1" t="inlineStr">
        <is>
          <t>Omkar Dattatray Gadgil</t>
        </is>
      </c>
      <c r="H23" s="1" t="inlineStr">
        <is>
          <t>Service Charge</t>
        </is>
      </c>
      <c r="I23" s="1" t="n">
        <v>250</v>
      </c>
      <c r="J23" s="1" t="inlineStr">
        <is>
          <t>UPI to Harish Sir</t>
        </is>
      </c>
    </row>
    <row r="24" hidden="1" ht="45.6" customHeight="1" s="5">
      <c r="A24" s="1" t="n">
        <v>5395769</v>
      </c>
      <c r="B24" s="1" t="n">
        <v>402107</v>
      </c>
      <c r="C24" s="1" t="inlineStr">
        <is>
          <t>Atomberg Ameza Ceiling Fan 1200mm - Gloss Ivory_GV5</t>
        </is>
      </c>
      <c r="F24" s="1" t="inlineStr">
        <is>
          <t>Ganesh Patil</t>
        </is>
      </c>
      <c r="G24" s="1" t="inlineStr">
        <is>
          <t>Omkar Dattatray Gadgil</t>
        </is>
      </c>
      <c r="H24" s="1" t="inlineStr">
        <is>
          <t>Service Charge</t>
        </is>
      </c>
      <c r="I24" s="1" t="n">
        <v>250</v>
      </c>
      <c r="J24" s="1" t="inlineStr">
        <is>
          <t>UPI to Harish Sir</t>
        </is>
      </c>
    </row>
    <row r="25" hidden="1" ht="45.6" customHeight="1" s="5">
      <c r="A25" s="1" t="n">
        <v>5405127</v>
      </c>
      <c r="B25" s="1" t="n">
        <v>400615</v>
      </c>
      <c r="C25" s="1" t="inlineStr">
        <is>
          <t>Atomberg Renesa Ceiling Fan 1200MM- Matt Brown_GV3</t>
        </is>
      </c>
      <c r="D25" s="1" t="inlineStr">
        <is>
          <t>Power PCB (Without Potting) BL_CF_Renesa_GV3</t>
        </is>
      </c>
      <c r="E25" s="1" t="n">
        <v>520.11</v>
      </c>
      <c r="F25" s="1" t="inlineStr">
        <is>
          <t xml:space="preserve"> Surender</t>
        </is>
      </c>
      <c r="G25" s="1" t="inlineStr">
        <is>
          <t>Shital</t>
        </is>
      </c>
      <c r="H25" s="1" t="inlineStr">
        <is>
          <t>PCB + Service Charge</t>
        </is>
      </c>
      <c r="I25" s="1" t="n">
        <v>863</v>
      </c>
      <c r="J25" s="1" t="inlineStr">
        <is>
          <t>UPI to Harish Sir</t>
        </is>
      </c>
    </row>
    <row r="26" ht="45.6" customHeight="1" s="5">
      <c r="A26" s="1" t="n">
        <v>5413468</v>
      </c>
      <c r="B26" s="1" t="n">
        <v>400706</v>
      </c>
      <c r="C26" s="1" t="inlineStr">
        <is>
          <t>Atomberg Studio+ Ceiling Fan 1200mm - Earth Brown_GV4</t>
        </is>
      </c>
      <c r="D26" s="1" t="inlineStr">
        <is>
          <t>PCB_Remote_1200mm_Studio+_GV4</t>
        </is>
      </c>
      <c r="E26" s="1" t="n">
        <v>520.11</v>
      </c>
      <c r="F26" s="1" t="inlineStr">
        <is>
          <t xml:space="preserve"> Adesh Vartak</t>
        </is>
      </c>
      <c r="G26" s="1" t="inlineStr">
        <is>
          <t>fatima azgarali</t>
        </is>
      </c>
      <c r="H26" s="1" t="inlineStr">
        <is>
          <t>PCB + Service Charge</t>
        </is>
      </c>
      <c r="I26" s="1" t="n">
        <v>770</v>
      </c>
      <c r="J26" s="1" t="inlineStr">
        <is>
          <t>Cash</t>
        </is>
      </c>
    </row>
    <row r="27" ht="45.6" customHeight="1" s="5">
      <c r="A27" s="1" t="n">
        <v>5413876</v>
      </c>
      <c r="B27" s="1" t="n">
        <v>400015</v>
      </c>
      <c r="C27" s="1" t="inlineStr">
        <is>
          <t>Atomberg Efficio+ Ceiling Fan 1200MM - Earth Brown_GV2</t>
        </is>
      </c>
      <c r="F27" s="1" t="inlineStr">
        <is>
          <t>Santosh Shukla</t>
        </is>
      </c>
      <c r="G27" s="1" t="inlineStr">
        <is>
          <t>Saif Shaikh</t>
        </is>
      </c>
      <c r="H27" s="1" t="inlineStr">
        <is>
          <t>Service Charge</t>
        </is>
      </c>
      <c r="I27" s="1" t="n">
        <v>250</v>
      </c>
      <c r="J27" s="1" t="inlineStr">
        <is>
          <t>Cash</t>
        </is>
      </c>
    </row>
    <row r="28" ht="45.6" customHeight="1" s="5">
      <c r="A28" s="1" t="n">
        <v>5422070</v>
      </c>
      <c r="B28" s="1" t="n">
        <v>400004</v>
      </c>
      <c r="C28" s="1" t="inlineStr">
        <is>
          <t>Atomberg Efficio Ceiling Fan 1200MM - Brown_GV2</t>
        </is>
      </c>
      <c r="F28" s="1" t="inlineStr">
        <is>
          <t>Santosh Shukla</t>
        </is>
      </c>
      <c r="G28" s="1" t="inlineStr">
        <is>
          <t>Siddhesh Patwa</t>
        </is>
      </c>
      <c r="H28" s="1" t="inlineStr">
        <is>
          <t>Service Charge</t>
        </is>
      </c>
      <c r="I28" s="1" t="n">
        <v>250</v>
      </c>
      <c r="J28" s="1" t="inlineStr">
        <is>
          <t>Cash</t>
        </is>
      </c>
    </row>
    <row r="29" ht="45.6" customHeight="1" s="5">
      <c r="A29" s="1" t="n">
        <v>5429795</v>
      </c>
      <c r="B29" s="1" t="n">
        <v>400706</v>
      </c>
      <c r="C29" s="1" t="inlineStr">
        <is>
          <t>Atomberg Efficio Ceiling Fan 1200MM - Brown_GV2</t>
        </is>
      </c>
      <c r="D29" s="1" t="inlineStr">
        <is>
          <t>Sensor PCB_CF</t>
        </is>
      </c>
      <c r="E29" s="1" t="n">
        <v>120.11</v>
      </c>
      <c r="F29" s="1" t="inlineStr">
        <is>
          <t xml:space="preserve"> Adesh Vartak</t>
        </is>
      </c>
      <c r="G29" s="1" t="inlineStr">
        <is>
          <t>Abdul Rauf</t>
        </is>
      </c>
      <c r="H29" s="1" t="inlineStr">
        <is>
          <t>PCB + Service Charge</t>
        </is>
      </c>
      <c r="I29" s="1">
        <f>120+22+250</f>
        <v/>
      </c>
      <c r="J29" s="1" t="inlineStr">
        <is>
          <t>Cash</t>
        </is>
      </c>
    </row>
    <row r="30" hidden="1" ht="45.6" customHeight="1" s="5">
      <c r="A30" s="1" t="n">
        <v>5432106</v>
      </c>
      <c r="B30" s="1" t="n">
        <v>410206</v>
      </c>
      <c r="C30" s="1" t="inlineStr">
        <is>
          <t>Atomberg Studio+ Ceiling Fan 1200MM - Sand Grey_GV5</t>
        </is>
      </c>
      <c r="D30" s="1" t="inlineStr">
        <is>
          <t>Updated STM32 PCB C0_0.6M/0.9M/1.2M/ 1.4M_ Renesa/Renesa+/Studio+/Ikano/Prime_GV5</t>
        </is>
      </c>
      <c r="E30" s="1" t="n">
        <v>500.11</v>
      </c>
      <c r="F30" s="1" t="inlineStr">
        <is>
          <t xml:space="preserve"> Adesh Vartak</t>
        </is>
      </c>
      <c r="G30" s="1" t="inlineStr">
        <is>
          <t>Pankaj Bagul</t>
        </is>
      </c>
      <c r="H30" s="1" t="inlineStr">
        <is>
          <t>PCB + Service Charge</t>
        </is>
      </c>
      <c r="I30" s="1" t="n">
        <v>750</v>
      </c>
      <c r="J30" s="1" t="inlineStr">
        <is>
          <t>UPI to Harish Sir</t>
        </is>
      </c>
    </row>
    <row r="31" hidden="1" ht="45.6" customHeight="1" s="5">
      <c r="A31" s="1" t="n">
        <v>5435807</v>
      </c>
      <c r="B31" s="1" t="n">
        <v>400019</v>
      </c>
      <c r="C31" s="1" t="inlineStr">
        <is>
          <t>Atomberg Studio+ Ceiling Fan 1200mm - Earth Brown_GV4</t>
        </is>
      </c>
      <c r="F31" s="1" t="inlineStr">
        <is>
          <t xml:space="preserve"> Anees  Idrisi</t>
        </is>
      </c>
      <c r="G31" s="1" t="inlineStr">
        <is>
          <t>Jay Shah</t>
        </is>
      </c>
      <c r="H31" s="1" t="inlineStr">
        <is>
          <t>Service Charge</t>
        </is>
      </c>
      <c r="I31" s="1" t="n">
        <v>250</v>
      </c>
      <c r="J31" s="1" t="inlineStr">
        <is>
          <t>UPI to Harish Sir</t>
        </is>
      </c>
    </row>
    <row r="32" ht="45.6" customHeight="1" s="5">
      <c r="A32" s="1" t="n">
        <v>5440702</v>
      </c>
      <c r="B32" s="1" t="n">
        <v>400006</v>
      </c>
      <c r="C32" s="1" t="inlineStr">
        <is>
          <t>Atomberg Efficio Ceiling Fan 1200MM - White_GV2</t>
        </is>
      </c>
      <c r="D32" s="1" t="inlineStr">
        <is>
          <t>Consolidate PCB GV2_CF__Efficio_GV2</t>
        </is>
      </c>
      <c r="E32" s="1" t="n">
        <v>550.11</v>
      </c>
      <c r="F32" s="1" t="inlineStr">
        <is>
          <t>Santosh Shukla</t>
        </is>
      </c>
      <c r="G32" s="1" t="inlineStr">
        <is>
          <t>Saloni Doshi</t>
        </is>
      </c>
      <c r="H32" s="1" t="inlineStr">
        <is>
          <t>PCB + Service Charge</t>
        </is>
      </c>
      <c r="I32" s="1">
        <f>550+250+99</f>
        <v/>
      </c>
      <c r="J32" s="1" t="inlineStr">
        <is>
          <t>Cash</t>
        </is>
      </c>
    </row>
    <row r="33" ht="45.6" customHeight="1" s="5">
      <c r="A33" s="1" t="n">
        <v>5442621</v>
      </c>
      <c r="B33" s="1" t="n">
        <v>400706</v>
      </c>
      <c r="C33" s="1" t="inlineStr">
        <is>
          <t>Atomberg Renesa Ceiling Fan 1200MM-Matte Brown &amp; Black_GV3</t>
        </is>
      </c>
      <c r="D33" s="1" t="inlineStr">
        <is>
          <t>Consolidate PCB GV3_CF_Renesa+_GV3</t>
        </is>
      </c>
      <c r="E33" s="1" t="n">
        <v>520.11</v>
      </c>
      <c r="F33" s="1" t="inlineStr">
        <is>
          <t xml:space="preserve"> Adesh Vartak</t>
        </is>
      </c>
      <c r="G33" s="1" t="inlineStr">
        <is>
          <t>Vaishnavi Chari</t>
        </is>
      </c>
      <c r="H33" s="1" t="inlineStr">
        <is>
          <t>PCB + Service Charge</t>
        </is>
      </c>
      <c r="I33" s="1" t="n">
        <v>770</v>
      </c>
      <c r="J33" s="1" t="inlineStr">
        <is>
          <t>Cash</t>
        </is>
      </c>
    </row>
    <row r="34" ht="45.6" customHeight="1" s="5">
      <c r="A34" s="1" t="n">
        <v>5444720</v>
      </c>
      <c r="B34" s="1" t="n">
        <v>400706</v>
      </c>
      <c r="C34" s="1" t="inlineStr">
        <is>
          <t>Atomberg Efficio Ceiling Fan 1200MM - White_GV2</t>
        </is>
      </c>
      <c r="D34" s="1" t="inlineStr">
        <is>
          <t>Consolidate PCB GV2_CF__Efficio_GV2</t>
        </is>
      </c>
      <c r="E34" s="1" t="n">
        <v>550.11</v>
      </c>
      <c r="F34" s="1" t="inlineStr">
        <is>
          <t xml:space="preserve"> Adesh Vartak</t>
        </is>
      </c>
      <c r="G34" s="1" t="inlineStr">
        <is>
          <t>Srinivasan Chidambaram</t>
        </is>
      </c>
      <c r="H34" s="1" t="inlineStr">
        <is>
          <t>PCB + Service Charge</t>
        </is>
      </c>
      <c r="I34" s="1" t="n">
        <v>800</v>
      </c>
      <c r="J34" s="1" t="inlineStr">
        <is>
          <t>Cash</t>
        </is>
      </c>
    </row>
    <row r="35" ht="45.6" customHeight="1" s="5">
      <c r="A35" s="1" t="n">
        <v>5446293</v>
      </c>
      <c r="B35" s="1" t="n">
        <v>400706</v>
      </c>
      <c r="C35" s="1" t="inlineStr">
        <is>
          <t>Atomberg_Renesa Ceiling Fan 1200MM-Midnight Black_GV3</t>
        </is>
      </c>
      <c r="F35" s="1" t="inlineStr">
        <is>
          <t xml:space="preserve"> Adesh Vartak</t>
        </is>
      </c>
      <c r="G35" s="1" t="inlineStr">
        <is>
          <t>siddhu ghodke</t>
        </is>
      </c>
      <c r="H35" s="1" t="inlineStr">
        <is>
          <t>Service Charge</t>
        </is>
      </c>
      <c r="I35" s="1" t="n">
        <v>250</v>
      </c>
      <c r="J35" s="1" t="inlineStr">
        <is>
          <t>Cash</t>
        </is>
      </c>
    </row>
    <row r="36" ht="45.6" customHeight="1" s="5">
      <c r="A36" s="1" t="n">
        <v>5409542</v>
      </c>
      <c r="B36" s="1" t="n">
        <v>400006</v>
      </c>
      <c r="C36" s="1" t="inlineStr">
        <is>
          <t>Atomberg Efficio Ceiling Fan 1200MM - White_GV2</t>
        </is>
      </c>
      <c r="D36" s="1" t="inlineStr">
        <is>
          <t>Consolidate PCB GV2_CF__Efficio_GV2</t>
        </is>
      </c>
      <c r="E36" s="1" t="n">
        <v>649</v>
      </c>
      <c r="F36" s="1" t="inlineStr">
        <is>
          <t>Santosh Shukla</t>
        </is>
      </c>
      <c r="G36" s="1" t="inlineStr">
        <is>
          <t>Dwiten</t>
        </is>
      </c>
      <c r="H36" s="1" t="inlineStr">
        <is>
          <t>PCB + Service Charge</t>
        </is>
      </c>
      <c r="I36" s="1" t="n">
        <v>899</v>
      </c>
      <c r="J36" s="1" t="inlineStr">
        <is>
          <t>Cash</t>
        </is>
      </c>
    </row>
    <row r="37" hidden="1" ht="45.6" customHeight="1" s="5">
      <c r="A37" s="1" t="n">
        <v>5420539</v>
      </c>
      <c r="B37" s="1" t="n">
        <v>400006</v>
      </c>
      <c r="C37" s="1" t="inlineStr">
        <is>
          <t>Atomberg Efficio Ceiling Fan 1200MM - White_GV2</t>
        </is>
      </c>
      <c r="D37" s="1" t="inlineStr">
        <is>
          <t>Consolidate PCB GV2_CF__Efficio_GV2</t>
        </is>
      </c>
      <c r="E37" s="1" t="n">
        <v>649</v>
      </c>
      <c r="F37" s="1" t="inlineStr">
        <is>
          <t>Ganesh Patil</t>
        </is>
      </c>
      <c r="G37" s="1" t="inlineStr">
        <is>
          <t>Prashant</t>
        </is>
      </c>
      <c r="H37" s="1" t="inlineStr">
        <is>
          <t>PCB + Service Charge</t>
        </is>
      </c>
      <c r="I37" s="1" t="n">
        <v>864</v>
      </c>
      <c r="J37" s="1" t="inlineStr">
        <is>
          <t>UPI to Harish Sir</t>
        </is>
      </c>
    </row>
    <row r="38" hidden="1" ht="45.6" customHeight="1" s="5">
      <c r="A38" s="1" t="n">
        <v>5435538</v>
      </c>
      <c r="B38" s="1" t="n">
        <v>400006</v>
      </c>
      <c r="C38" s="1" t="inlineStr">
        <is>
          <t>Atomberg Efficio Ceiling Fan 1200MM - White_GV2</t>
        </is>
      </c>
      <c r="D38" s="1" t="inlineStr">
        <is>
          <t>Consolidate PCB GV2_CF__Efficio_GV2</t>
        </is>
      </c>
      <c r="E38" s="1" t="n">
        <v>649</v>
      </c>
      <c r="F38" s="1" t="inlineStr">
        <is>
          <t>Ganesh Patil</t>
        </is>
      </c>
      <c r="G38" s="1" t="inlineStr">
        <is>
          <t>Shrikant</t>
        </is>
      </c>
      <c r="H38" s="1" t="inlineStr">
        <is>
          <t>PCB + Service Charge</t>
        </is>
      </c>
      <c r="I38" s="1" t="n">
        <v>864</v>
      </c>
      <c r="J38" s="1" t="inlineStr">
        <is>
          <t>UPI to Harish Sir</t>
        </is>
      </c>
    </row>
    <row r="39" ht="45.6" customHeight="1" s="5">
      <c r="A39" s="1" t="n">
        <v>5446393</v>
      </c>
      <c r="B39" s="1" t="n">
        <v>400706</v>
      </c>
      <c r="C39" s="1" t="inlineStr">
        <is>
          <t>Atomberg_Renesa Ceiling Fan 1200MM-Midnight Black_GV3</t>
        </is>
      </c>
      <c r="F39" s="1" t="inlineStr">
        <is>
          <t xml:space="preserve"> Adesh Vartak</t>
        </is>
      </c>
      <c r="G39" s="1" t="inlineStr">
        <is>
          <t>Sidhu</t>
        </is>
      </c>
      <c r="H39" s="1" t="inlineStr">
        <is>
          <t>Service Charge</t>
        </is>
      </c>
      <c r="I39" s="1" t="n">
        <v>250</v>
      </c>
      <c r="J39" s="1" t="inlineStr">
        <is>
          <t>Cash</t>
        </is>
      </c>
    </row>
  </sheetData>
  <autoFilter ref="A1:J39">
    <filterColumn colId="9" hiddenButton="0" showButton="1">
      <filters>
        <filter val="Cas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Shoaib inamdar</dc:creator>
  <dcterms:created xmlns:dcterms="http://purl.org/dc/terms/" xmlns:xsi="http://www.w3.org/2001/XMLSchema-instance" xsi:type="dcterms:W3CDTF">2026-05-17T07:25:51Z</dcterms:created>
  <dcterms:modified xmlns:dcterms="http://purl.org/dc/terms/" xmlns:xsi="http://www.w3.org/2001/XMLSchema-instance" xsi:type="dcterms:W3CDTF">2026-06-18T10:48:14Z</dcterms:modified>
  <cp:lastModifiedBy>Harish Yadav</cp:lastModifiedBy>
</cp:coreProperties>
</file>